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defaultThemeVersion="166925"/>
  <mc:AlternateContent xmlns:mc="http://schemas.openxmlformats.org/markup-compatibility/2006">
    <mc:Choice Requires="x15">
      <x15ac:absPath xmlns:x15ac="http://schemas.microsoft.com/office/spreadsheetml/2010/11/ac" url="/Users/cokerjesutayo/Downloads/"/>
    </mc:Choice>
  </mc:AlternateContent>
  <xr:revisionPtr revIDLastSave="0" documentId="13_ncr:1_{0EE80AFA-88D1-964E-8EB7-6C1F6AE2BFF1}" xr6:coauthVersionLast="47" xr6:coauthVersionMax="47" xr10:uidLastSave="{00000000-0000-0000-0000-000000000000}"/>
  <bookViews>
    <workbookView xWindow="0" yWindow="520" windowWidth="28800" windowHeight="164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s="1"/>
  <c r="M4" i="4" a="1"/>
  <c r="M4" i="4"/>
  <c r="M5" i="4" a="1"/>
  <c r="M5" i="4" s="1"/>
  <c r="M6" i="4" a="1"/>
  <c r="M6" i="4" s="1"/>
  <c r="M7" i="4" a="1"/>
  <c r="M7" i="4" s="1"/>
  <c r="M8" i="4" a="1"/>
  <c r="M8" i="4" s="1"/>
  <c r="M9" i="4" a="1"/>
  <c r="M9" i="4" s="1"/>
  <c r="M10" i="4" a="1"/>
  <c r="M10" i="4" s="1"/>
  <c r="M11" i="4" a="1"/>
  <c r="M11" i="4" s="1"/>
  <c r="M12" i="4" a="1"/>
  <c r="M12" i="4" s="1"/>
  <c r="M13" i="4" a="1"/>
  <c r="M13" i="4"/>
  <c r="M14" i="4" a="1"/>
  <c r="M14" i="4"/>
  <c r="M15" i="4" a="1"/>
  <c r="M15" i="4" s="1"/>
  <c r="M16" i="4" a="1"/>
  <c r="M16" i="4"/>
  <c r="M17" i="4" a="1"/>
  <c r="M17" i="4" s="1"/>
  <c r="M18" i="4" a="1"/>
  <c r="M18" i="4" s="1"/>
  <c r="M19" i="4" a="1"/>
  <c r="M19" i="4" s="1"/>
  <c r="M20" i="4" a="1"/>
  <c r="M20" i="4" s="1"/>
  <c r="M21" i="4" a="1"/>
  <c r="M21" i="4" s="1"/>
  <c r="M22" i="4" a="1"/>
  <c r="M22" i="4"/>
  <c r="M23" i="4" a="1"/>
  <c r="M23" i="4" s="1"/>
  <c r="M24" i="4" a="1"/>
  <c r="M24" i="4"/>
  <c r="M25" i="4" a="1"/>
  <c r="M25" i="4"/>
  <c r="M26" i="4" a="1"/>
  <c r="M26" i="4" s="1"/>
  <c r="M27" i="4" a="1"/>
  <c r="M27" i="4" s="1"/>
  <c r="M28" i="4" a="1"/>
  <c r="M28" i="4"/>
  <c r="M29" i="4" a="1"/>
  <c r="M29" i="4"/>
  <c r="M30" i="4" a="1"/>
  <c r="M30" i="4" s="1"/>
  <c r="M31" i="4" a="1"/>
  <c r="M31" i="4" s="1"/>
  <c r="M32" i="4" a="1"/>
  <c r="M32" i="4" s="1"/>
  <c r="M33" i="4" a="1"/>
  <c r="M33" i="4"/>
  <c r="M34" i="4" a="1"/>
  <c r="M34" i="4"/>
  <c r="M35" i="4" a="1"/>
  <c r="M35" i="4" s="1"/>
  <c r="M36" i="4" a="1"/>
  <c r="M36" i="4"/>
  <c r="M37" i="4" a="1"/>
  <c r="M37" i="4"/>
  <c r="M38" i="4" a="1"/>
  <c r="M38" i="4"/>
  <c r="M39" i="4" a="1"/>
  <c r="M39" i="4" s="1"/>
  <c r="M40" i="4" a="1"/>
  <c r="M40" i="4" s="1"/>
  <c r="M41" i="4" a="1"/>
  <c r="M41" i="4" s="1"/>
  <c r="M42" i="4" a="1"/>
  <c r="M42" i="4" s="1"/>
  <c r="M43" i="4" a="1"/>
  <c r="M43" i="4" s="1"/>
  <c r="M44" i="4" a="1"/>
  <c r="M44" i="4" s="1"/>
  <c r="M45" i="4" a="1"/>
  <c r="M45" i="4"/>
  <c r="M46" i="4" a="1"/>
  <c r="M46" i="4"/>
  <c r="M47" i="4" a="1"/>
  <c r="M47" i="4" s="1"/>
  <c r="M48" i="4" a="1"/>
  <c r="M48" i="4"/>
  <c r="M49" i="4" a="1"/>
  <c r="M49" i="4" s="1"/>
  <c r="M50" i="4" a="1"/>
  <c r="M50" i="4" s="1"/>
  <c r="M51" i="4" a="1"/>
  <c r="M51" i="4" s="1"/>
  <c r="M52" i="4" a="1"/>
  <c r="M52" i="4"/>
  <c r="M53" i="4" a="1"/>
  <c r="M53" i="4" s="1"/>
  <c r="M54" i="4" a="1"/>
  <c r="M54" i="4"/>
  <c r="M55" i="4" a="1"/>
  <c r="M55" i="4" s="1"/>
  <c r="M56" i="4" a="1"/>
  <c r="M56" i="4"/>
  <c r="M57" i="4" a="1"/>
  <c r="M57" i="4"/>
  <c r="M58" i="4" a="1"/>
  <c r="M58" i="4" s="1"/>
  <c r="M59" i="4" a="1"/>
  <c r="M59" i="4" s="1"/>
  <c r="M60" i="4" a="1"/>
  <c r="M60" i="4"/>
  <c r="M61" i="4" a="1"/>
  <c r="M61" i="4"/>
  <c r="M62" i="4" a="1"/>
  <c r="M62" i="4" s="1"/>
  <c r="M63" i="4" a="1"/>
  <c r="M63" i="4" s="1"/>
  <c r="M64" i="4" a="1"/>
  <c r="M64" i="4" s="1"/>
  <c r="M65" i="4" a="1"/>
  <c r="M65" i="4" s="1"/>
  <c r="M66" i="4" a="1"/>
  <c r="M66" i="4"/>
  <c r="M67" i="4" a="1"/>
  <c r="M67" i="4" s="1"/>
  <c r="M68" i="4" a="1"/>
  <c r="M68" i="4"/>
  <c r="M69" i="4" a="1"/>
  <c r="M69" i="4"/>
  <c r="M70" i="4" a="1"/>
  <c r="M70" i="4"/>
  <c r="M71" i="4" a="1"/>
  <c r="M71" i="4" s="1"/>
  <c r="M72" i="4" a="1"/>
  <c r="M72" i="4" s="1"/>
  <c r="M73" i="4" a="1"/>
  <c r="M73" i="4" s="1"/>
  <c r="M74" i="4" a="1"/>
  <c r="M74" i="4"/>
  <c r="M75" i="4" a="1"/>
  <c r="M75" i="4" s="1"/>
  <c r="M76" i="4" a="1"/>
  <c r="M76" i="4" s="1"/>
  <c r="M77" i="4" a="1"/>
  <c r="M77" i="4"/>
  <c r="M78" i="4" a="1"/>
  <c r="M78" i="4"/>
  <c r="M79" i="4" a="1"/>
  <c r="M79" i="4" s="1"/>
  <c r="M80" i="4" a="1"/>
  <c r="M80" i="4" s="1"/>
  <c r="M81" i="4" a="1"/>
  <c r="M81" i="4" s="1"/>
  <c r="M82" i="4" a="1"/>
  <c r="M82" i="4" s="1"/>
  <c r="M83" i="4" a="1"/>
  <c r="M83" i="4" s="1"/>
  <c r="M84" i="4" a="1"/>
  <c r="M84" i="4"/>
  <c r="M85" i="4" a="1"/>
  <c r="M85" i="4" s="1"/>
  <c r="M86" i="4" a="1"/>
  <c r="M86" i="4"/>
  <c r="M87" i="4" a="1"/>
  <c r="M87" i="4" s="1"/>
  <c r="M88" i="4" a="1"/>
  <c r="M88" i="4"/>
  <c r="M89" i="4" a="1"/>
  <c r="M89" i="4"/>
  <c r="M90" i="4" a="1"/>
  <c r="M90" i="4" s="1"/>
  <c r="M91" i="4" a="1"/>
  <c r="M91" i="4" s="1"/>
  <c r="M92" i="4" a="1"/>
  <c r="M92" i="4"/>
  <c r="M93" i="4" a="1"/>
  <c r="M93" i="4"/>
  <c r="M94" i="4" a="1"/>
  <c r="M94" i="4" s="1"/>
  <c r="M95" i="4" a="1"/>
  <c r="M95" i="4" s="1"/>
  <c r="M96" i="4" a="1"/>
  <c r="M96" i="4" s="1"/>
  <c r="M97" i="4" a="1"/>
  <c r="M97" i="4" s="1"/>
  <c r="M98" i="4" a="1"/>
  <c r="M98" i="4"/>
  <c r="M99" i="4" a="1"/>
  <c r="M99" i="4" s="1"/>
  <c r="M100" i="4" a="1"/>
  <c r="M100" i="4"/>
  <c r="M101" i="4" a="1"/>
  <c r="M101" i="4"/>
  <c r="M102" i="4" a="1"/>
  <c r="M102" i="4"/>
  <c r="M103" i="4" a="1"/>
  <c r="M103" i="4" s="1"/>
  <c r="M104" i="4" a="1"/>
  <c r="M104" i="4" s="1"/>
  <c r="M105" i="4" a="1"/>
  <c r="M105" i="4" s="1"/>
  <c r="M106" i="4" a="1"/>
  <c r="M106" i="4"/>
  <c r="M107" i="4" a="1"/>
  <c r="M107" i="4" s="1"/>
  <c r="M108" i="4" a="1"/>
  <c r="M108" i="4" s="1"/>
  <c r="M109" i="4" a="1"/>
  <c r="M109" i="4"/>
  <c r="M110" i="4" a="1"/>
  <c r="M110" i="4"/>
  <c r="M111" i="4" a="1"/>
  <c r="M111" i="4" s="1"/>
  <c r="M112" i="4" a="1"/>
  <c r="M112" i="4"/>
  <c r="M113" i="4" a="1"/>
  <c r="M113" i="4" s="1"/>
  <c r="M114" i="4" a="1"/>
  <c r="M114" i="4" s="1"/>
  <c r="M115" i="4" a="1"/>
  <c r="M115" i="4" s="1"/>
  <c r="M116" i="4" a="1"/>
  <c r="M116" i="4"/>
  <c r="M117" i="4" a="1"/>
  <c r="M117" i="4" s="1"/>
  <c r="M118" i="4" a="1"/>
  <c r="M118" i="4"/>
  <c r="M119" i="4" a="1"/>
  <c r="M119" i="4" s="1"/>
  <c r="M120" i="4" a="1"/>
  <c r="M120" i="4"/>
  <c r="M121" i="4" a="1"/>
  <c r="M121" i="4"/>
  <c r="M122" i="4" a="1"/>
  <c r="M122" i="4" s="1"/>
  <c r="M123" i="4" a="1"/>
  <c r="M123" i="4" s="1"/>
  <c r="M124" i="4" a="1"/>
  <c r="M124" i="4"/>
  <c r="M125" i="4" a="1"/>
  <c r="M125" i="4"/>
  <c r="M126" i="4" a="1"/>
  <c r="M126" i="4" s="1"/>
  <c r="M127" i="4" a="1"/>
  <c r="M127" i="4" s="1"/>
  <c r="M128" i="4" a="1"/>
  <c r="M128" i="4" s="1"/>
  <c r="M129" i="4" a="1"/>
  <c r="M129" i="4"/>
  <c r="M130" i="4" a="1"/>
  <c r="M130" i="4"/>
  <c r="M131" i="4" a="1"/>
  <c r="M131" i="4" s="1"/>
  <c r="M132" i="4" a="1"/>
  <c r="M132" i="4"/>
  <c r="M133" i="4" a="1"/>
  <c r="M133" i="4"/>
  <c r="M134" i="4" a="1"/>
  <c r="M134" i="4" s="1"/>
  <c r="M135" i="4" a="1"/>
  <c r="M135" i="4" s="1"/>
  <c r="M136" i="4" a="1"/>
  <c r="M136" i="4" s="1"/>
  <c r="M137" i="4" a="1"/>
  <c r="M137" i="4" s="1"/>
  <c r="M138" i="4" a="1"/>
  <c r="M138" i="4"/>
  <c r="M139" i="4" a="1"/>
  <c r="M139" i="4" s="1"/>
  <c r="M140" i="4" a="1"/>
  <c r="M140" i="4" s="1"/>
  <c r="M141" i="4" a="1"/>
  <c r="M141" i="4"/>
  <c r="M142" i="4" a="1"/>
  <c r="M142" i="4"/>
  <c r="M143" i="4" a="1"/>
  <c r="M143" i="4" s="1"/>
  <c r="M144" i="4" a="1"/>
  <c r="M144" i="4" s="1"/>
  <c r="M145" i="4" a="1"/>
  <c r="M145" i="4" s="1"/>
  <c r="M146" i="4" a="1"/>
  <c r="M146" i="4" s="1"/>
  <c r="M147" i="4" a="1"/>
  <c r="M147" i="4" s="1"/>
  <c r="M148" i="4" a="1"/>
  <c r="M148" i="4"/>
  <c r="M149" i="4" a="1"/>
  <c r="M149" i="4" s="1"/>
  <c r="M150" i="4" a="1"/>
  <c r="M150" i="4"/>
  <c r="M151" i="4" a="1"/>
  <c r="M151" i="4" s="1"/>
  <c r="M152" i="4" a="1"/>
  <c r="M152" i="4"/>
  <c r="M153" i="4" a="1"/>
  <c r="M153" i="4"/>
  <c r="M154" i="4" a="1"/>
  <c r="M154" i="4" s="1"/>
  <c r="M155" i="4" a="1"/>
  <c r="M155" i="4" s="1"/>
  <c r="M156" i="4" a="1"/>
  <c r="M156" i="4"/>
  <c r="M157" i="4" a="1"/>
  <c r="M157" i="4"/>
  <c r="M158" i="4" a="1"/>
  <c r="M158" i="4" s="1"/>
  <c r="M159" i="4" a="1"/>
  <c r="M159" i="4" s="1"/>
  <c r="M160" i="4" a="1"/>
  <c r="M160" i="4" s="1"/>
  <c r="M161" i="4" a="1"/>
  <c r="M161" i="4" s="1"/>
  <c r="M162" i="4" a="1"/>
  <c r="M162" i="4" s="1"/>
  <c r="M163" i="4" a="1"/>
  <c r="M163" i="4" s="1"/>
  <c r="M164" i="4" a="1"/>
  <c r="M164" i="4"/>
  <c r="M165" i="4" a="1"/>
  <c r="M165" i="4"/>
  <c r="M166" i="4" a="1"/>
  <c r="M166" i="4" s="1"/>
  <c r="M167" i="4" a="1"/>
  <c r="M167" i="4" s="1"/>
  <c r="M168" i="4" a="1"/>
  <c r="M168" i="4" s="1"/>
  <c r="M169" i="4" a="1"/>
  <c r="M169" i="4" s="1"/>
  <c r="M170" i="4" a="1"/>
  <c r="M170" i="4"/>
  <c r="M171" i="4" a="1"/>
  <c r="M171" i="4" s="1"/>
  <c r="M172" i="4" a="1"/>
  <c r="M172" i="4" s="1"/>
  <c r="M173" i="4" a="1"/>
  <c r="M173" i="4"/>
  <c r="M174" i="4" a="1"/>
  <c r="M174" i="4"/>
  <c r="M175" i="4" a="1"/>
  <c r="M175" i="4" s="1"/>
  <c r="M176" i="4" a="1"/>
  <c r="M176" i="4"/>
  <c r="M177" i="4" a="1"/>
  <c r="M177" i="4" s="1"/>
  <c r="M178" i="4" a="1"/>
  <c r="M178" i="4" s="1"/>
  <c r="M179" i="4" a="1"/>
  <c r="M179" i="4" s="1"/>
  <c r="M180" i="4" a="1"/>
  <c r="M180" i="4"/>
  <c r="M181" i="4" a="1"/>
  <c r="M181" i="4" s="1"/>
  <c r="M182" i="4" a="1"/>
  <c r="M182" i="4"/>
  <c r="M183" i="4" a="1"/>
  <c r="M183" i="4" s="1"/>
  <c r="M184" i="4" a="1"/>
  <c r="M184" i="4" s="1"/>
  <c r="M185" i="4" a="1"/>
  <c r="M185" i="4" s="1"/>
  <c r="M186" i="4" a="1"/>
  <c r="M186" i="4" s="1"/>
  <c r="M187" i="4" a="1"/>
  <c r="M187" i="4" s="1"/>
  <c r="M188" i="4" a="1"/>
  <c r="M188" i="4"/>
  <c r="M189" i="4" a="1"/>
  <c r="M189" i="4" s="1"/>
  <c r="M190" i="4" a="1"/>
  <c r="M190" i="4" s="1"/>
  <c r="M191" i="4" a="1"/>
  <c r="M191" i="4" s="1"/>
  <c r="M192" i="4" a="1"/>
  <c r="M192" i="4" s="1"/>
  <c r="M193" i="4" a="1"/>
  <c r="M193" i="4"/>
  <c r="M194" i="4" a="1"/>
  <c r="M194" i="4"/>
  <c r="M195" i="4" a="1"/>
  <c r="M195" i="4" s="1"/>
  <c r="M196" i="4" a="1"/>
  <c r="M196" i="4"/>
  <c r="M197" i="4" a="1"/>
  <c r="M197" i="4"/>
  <c r="M198" i="4" a="1"/>
  <c r="M198" i="4"/>
  <c r="M199" i="4" a="1"/>
  <c r="M199" i="4" s="1"/>
  <c r="M200" i="4" a="1"/>
  <c r="M200" i="4" s="1"/>
  <c r="M201" i="4" a="1"/>
  <c r="M201" i="4" s="1"/>
  <c r="M202" i="4" a="1"/>
  <c r="M202" i="4"/>
  <c r="M203" i="4" a="1"/>
  <c r="M203" i="4" s="1"/>
  <c r="M204" i="4" a="1"/>
  <c r="M204" i="4" s="1"/>
  <c r="M205" i="4" a="1"/>
  <c r="M205" i="4"/>
  <c r="M206" i="4" a="1"/>
  <c r="M206" i="4"/>
  <c r="M207" i="4" a="1"/>
  <c r="M207" i="4" s="1"/>
  <c r="M208" i="4" a="1"/>
  <c r="M208" i="4"/>
  <c r="M209" i="4" a="1"/>
  <c r="M209" i="4" s="1"/>
  <c r="M210" i="4" a="1"/>
  <c r="M210" i="4" s="1"/>
  <c r="M211" i="4" a="1"/>
  <c r="M211" i="4" s="1"/>
  <c r="M212" i="4" a="1"/>
  <c r="M212" i="4"/>
  <c r="M213" i="4" a="1"/>
  <c r="M213" i="4" s="1"/>
  <c r="M214" i="4" a="1"/>
  <c r="M214" i="4"/>
  <c r="M215" i="4" a="1"/>
  <c r="M215" i="4" s="1"/>
  <c r="M216" i="4" a="1"/>
  <c r="M216" i="4"/>
  <c r="M217" i="4" a="1"/>
  <c r="M217" i="4"/>
  <c r="M218" i="4" a="1"/>
  <c r="M218" i="4" s="1"/>
  <c r="M219" i="4" a="1"/>
  <c r="M219" i="4" s="1"/>
  <c r="M220" i="4" a="1"/>
  <c r="M220" i="4"/>
  <c r="M221" i="4" a="1"/>
  <c r="M221" i="4"/>
  <c r="M222" i="4" a="1"/>
  <c r="M222" i="4" s="1"/>
  <c r="M223" i="4" a="1"/>
  <c r="M223" i="4" s="1"/>
  <c r="M224" i="4" a="1"/>
  <c r="M224" i="4" s="1"/>
  <c r="M225" i="4" a="1"/>
  <c r="M225" i="4"/>
  <c r="M226" i="4" a="1"/>
  <c r="M226" i="4"/>
  <c r="M227" i="4" a="1"/>
  <c r="M227" i="4" s="1"/>
  <c r="M228" i="4" a="1"/>
  <c r="M228" i="4"/>
  <c r="M229" i="4" a="1"/>
  <c r="M229" i="4"/>
  <c r="M230" i="4" a="1"/>
  <c r="M230" i="4"/>
  <c r="M231" i="4" a="1"/>
  <c r="M231" i="4" s="1"/>
  <c r="M232" i="4" a="1"/>
  <c r="M232" i="4" s="1"/>
  <c r="M233" i="4" a="1"/>
  <c r="M233" i="4" s="1"/>
  <c r="M234" i="4" a="1"/>
  <c r="M234" i="4" s="1"/>
  <c r="M235" i="4" a="1"/>
  <c r="M235" i="4" s="1"/>
  <c r="M236" i="4" a="1"/>
  <c r="M236" i="4" s="1"/>
  <c r="M237" i="4" a="1"/>
  <c r="M237" i="4"/>
  <c r="M238" i="4" a="1"/>
  <c r="M238" i="4"/>
  <c r="M239" i="4" a="1"/>
  <c r="M239" i="4" s="1"/>
  <c r="M240" i="4" a="1"/>
  <c r="M240" i="4"/>
  <c r="M241" i="4" a="1"/>
  <c r="M241" i="4" s="1"/>
  <c r="M242" i="4" a="1"/>
  <c r="M242" i="4" s="1"/>
  <c r="M243" i="4" a="1"/>
  <c r="M243" i="4" s="1"/>
  <c r="M244" i="4" a="1"/>
  <c r="M244" i="4" s="1"/>
  <c r="M245" i="4" a="1"/>
  <c r="M245" i="4" s="1"/>
  <c r="M246" i="4" a="1"/>
  <c r="M246" i="4"/>
  <c r="M247" i="4" a="1"/>
  <c r="M247" i="4" s="1"/>
  <c r="M248" i="4" a="1"/>
  <c r="M248" i="4" s="1"/>
  <c r="M249" i="4" a="1"/>
  <c r="M249" i="4" s="1"/>
  <c r="M250" i="4" a="1"/>
  <c r="M250" i="4" s="1"/>
  <c r="M251" i="4" a="1"/>
  <c r="M251" i="4" s="1"/>
  <c r="M252" i="4" a="1"/>
  <c r="M252" i="4"/>
  <c r="M253" i="4" a="1"/>
  <c r="M253" i="4"/>
  <c r="M254" i="4" a="1"/>
  <c r="M254" i="4" s="1"/>
  <c r="M255" i="4" a="1"/>
  <c r="M255" i="4" s="1"/>
  <c r="M256" i="4" a="1"/>
  <c r="M256" i="4" s="1"/>
  <c r="M257" i="4" a="1"/>
  <c r="M257" i="4"/>
  <c r="M258" i="4" a="1"/>
  <c r="M258" i="4"/>
  <c r="M259" i="4" a="1"/>
  <c r="M259" i="4" s="1"/>
  <c r="M260" i="4" a="1"/>
  <c r="M260" i="4"/>
  <c r="M261" i="4" a="1"/>
  <c r="M261" i="4"/>
  <c r="M262" i="4" a="1"/>
  <c r="M262" i="4"/>
  <c r="M263" i="4" a="1"/>
  <c r="M263" i="4" s="1"/>
  <c r="M264" i="4" a="1"/>
  <c r="M264" i="4" s="1"/>
  <c r="M265" i="4" a="1"/>
  <c r="M265" i="4" s="1"/>
  <c r="M266" i="4" a="1"/>
  <c r="M266" i="4"/>
  <c r="M267" i="4" a="1"/>
  <c r="M267" i="4" s="1"/>
  <c r="M268" i="4" a="1"/>
  <c r="M268" i="4" s="1"/>
  <c r="M269" i="4" a="1"/>
  <c r="M269" i="4"/>
  <c r="M270" i="4" a="1"/>
  <c r="M270" i="4"/>
  <c r="M271" i="4" a="1"/>
  <c r="M271" i="4" s="1"/>
  <c r="M272" i="4" a="1"/>
  <c r="M272" i="4" s="1"/>
  <c r="M273" i="4" a="1"/>
  <c r="M273" i="4" s="1"/>
  <c r="M274" i="4" a="1"/>
  <c r="M274" i="4" s="1"/>
  <c r="M275" i="4" a="1"/>
  <c r="M275" i="4" s="1"/>
  <c r="M276" i="4" a="1"/>
  <c r="M276" i="4" s="1"/>
  <c r="M277" i="4" a="1"/>
  <c r="M277" i="4" s="1"/>
  <c r="M278" i="4" a="1"/>
  <c r="M278" i="4"/>
  <c r="M279" i="4" a="1"/>
  <c r="M279" i="4" s="1"/>
  <c r="M280" i="4" a="1"/>
  <c r="M280" i="4"/>
  <c r="M281" i="4" a="1"/>
  <c r="M281" i="4" s="1"/>
  <c r="M282" i="4" a="1"/>
  <c r="M282" i="4" s="1"/>
  <c r="M283" i="4" a="1"/>
  <c r="M283" i="4" s="1"/>
  <c r="M284" i="4" a="1"/>
  <c r="M284" i="4"/>
  <c r="M285" i="4" a="1"/>
  <c r="M285" i="4" s="1"/>
  <c r="M286" i="4" a="1"/>
  <c r="M286" i="4" s="1"/>
  <c r="M287" i="4" a="1"/>
  <c r="M287" i="4" s="1"/>
  <c r="M288" i="4" a="1"/>
  <c r="M288" i="4" s="1"/>
  <c r="M289" i="4" a="1"/>
  <c r="M289" i="4" s="1"/>
  <c r="M290" i="4" a="1"/>
  <c r="M290" i="4"/>
  <c r="M291" i="4" a="1"/>
  <c r="M291" i="4" s="1"/>
  <c r="M292" i="4" a="1"/>
  <c r="M292" i="4"/>
  <c r="M293" i="4" a="1"/>
  <c r="M293" i="4"/>
  <c r="M294" i="4" a="1"/>
  <c r="M294" i="4"/>
  <c r="M295" i="4" a="1"/>
  <c r="M295" i="4" s="1"/>
  <c r="M296" i="4" a="1"/>
  <c r="M296" i="4" s="1"/>
  <c r="M297" i="4" a="1"/>
  <c r="M297" i="4" s="1"/>
  <c r="M298" i="4" a="1"/>
  <c r="M298" i="4" s="1"/>
  <c r="M299" i="4" a="1"/>
  <c r="M299" i="4" s="1"/>
  <c r="M300" i="4" a="1"/>
  <c r="M300" i="4" s="1"/>
  <c r="M301" i="4" a="1"/>
  <c r="M301" i="4"/>
  <c r="M302" i="4" a="1"/>
  <c r="M302" i="4"/>
  <c r="M303" i="4" a="1"/>
  <c r="M303" i="4" s="1"/>
  <c r="M304" i="4" a="1"/>
  <c r="M304" i="4"/>
  <c r="M305" i="4" a="1"/>
  <c r="M305" i="4" s="1"/>
  <c r="M306" i="4" a="1"/>
  <c r="M306" i="4" s="1"/>
  <c r="M307" i="4" a="1"/>
  <c r="M307" i="4" s="1"/>
  <c r="M308" i="4" a="1"/>
  <c r="M308" i="4"/>
  <c r="M309" i="4" a="1"/>
  <c r="M309" i="4" s="1"/>
  <c r="M310" i="4" a="1"/>
  <c r="M310" i="4"/>
  <c r="M311" i="4" a="1"/>
  <c r="M311" i="4" s="1"/>
  <c r="M312" i="4" a="1"/>
  <c r="M312" i="4"/>
  <c r="M313" i="4" a="1"/>
  <c r="M313" i="4" s="1"/>
  <c r="M314" i="4" a="1"/>
  <c r="M314" i="4" s="1"/>
  <c r="M315" i="4" a="1"/>
  <c r="M315" i="4" s="1"/>
  <c r="M316" i="4" a="1"/>
  <c r="M316" i="4"/>
  <c r="M317" i="4" a="1"/>
  <c r="M317" i="4"/>
  <c r="M318" i="4" a="1"/>
  <c r="M318" i="4" s="1"/>
  <c r="M319" i="4" a="1"/>
  <c r="M319" i="4" s="1"/>
  <c r="M320" i="4" a="1"/>
  <c r="M320" i="4" s="1"/>
  <c r="M321" i="4" a="1"/>
  <c r="M321" i="4"/>
  <c r="M322" i="4" a="1"/>
  <c r="M322" i="4"/>
  <c r="M323" i="4" a="1"/>
  <c r="M323" i="4" s="1"/>
  <c r="M324" i="4" a="1"/>
  <c r="M324" i="4"/>
  <c r="M325" i="4" a="1"/>
  <c r="M325" i="4"/>
  <c r="M326" i="4" a="1"/>
  <c r="M326" i="4" s="1"/>
  <c r="M327" i="4" a="1"/>
  <c r="M327" i="4" s="1"/>
  <c r="M328" i="4" a="1"/>
  <c r="M328" i="4" s="1"/>
  <c r="M329" i="4" a="1"/>
  <c r="M329" i="4" s="1"/>
  <c r="M330" i="4" a="1"/>
  <c r="M330" i="4" s="1"/>
  <c r="M331" i="4" a="1"/>
  <c r="M331" i="4" s="1"/>
  <c r="M332" i="4" a="1"/>
  <c r="M332" i="4" s="1"/>
  <c r="M333" i="4" a="1"/>
  <c r="M333" i="4"/>
  <c r="M334" i="4" a="1"/>
  <c r="M334" i="4"/>
  <c r="M335" i="4" a="1"/>
  <c r="M335" i="4" s="1"/>
  <c r="M336" i="4" a="1"/>
  <c r="M336" i="4" s="1"/>
  <c r="M337" i="4" a="1"/>
  <c r="M337" i="4" s="1"/>
  <c r="M338" i="4" a="1"/>
  <c r="M338" i="4" s="1"/>
  <c r="M339" i="4" a="1"/>
  <c r="M339" i="4" s="1"/>
  <c r="M340" i="4" a="1"/>
  <c r="M340" i="4"/>
  <c r="M341" i="4" a="1"/>
  <c r="M341" i="4" s="1"/>
  <c r="M342" i="4" a="1"/>
  <c r="M342" i="4"/>
  <c r="M343" i="4" a="1"/>
  <c r="M343" i="4"/>
  <c r="M344" i="4" a="1"/>
  <c r="M344" i="4"/>
  <c r="M345" i="4" a="1"/>
  <c r="M345" i="4" s="1"/>
  <c r="M346" i="4" a="1"/>
  <c r="M346" i="4"/>
  <c r="M347" i="4" a="1"/>
  <c r="M347" i="4"/>
  <c r="M348" i="4" a="1"/>
  <c r="M348" i="4"/>
  <c r="M349" i="4" a="1"/>
  <c r="M349" i="4" s="1"/>
  <c r="M350" i="4" a="1"/>
  <c r="M350" i="4"/>
  <c r="M351" i="4" a="1"/>
  <c r="M351" i="4"/>
  <c r="M352" i="4" a="1"/>
  <c r="M352" i="4" s="1"/>
  <c r="M353" i="4" a="1"/>
  <c r="M353" i="4" s="1"/>
  <c r="M354" i="4" a="1"/>
  <c r="M354" i="4"/>
  <c r="M355" i="4" a="1"/>
  <c r="M355" i="4"/>
  <c r="M356" i="4" a="1"/>
  <c r="M356" i="4"/>
  <c r="M357" i="4" a="1"/>
  <c r="M357" i="4" s="1"/>
  <c r="M358" i="4" a="1"/>
  <c r="M358" i="4"/>
  <c r="M359" i="4" a="1"/>
  <c r="M359" i="4"/>
  <c r="M360" i="4" a="1"/>
  <c r="M360" i="4" s="1"/>
  <c r="M361" i="4" a="1"/>
  <c r="M361" i="4" s="1"/>
  <c r="M362" i="4" a="1"/>
  <c r="M362" i="4"/>
  <c r="M363" i="4" a="1"/>
  <c r="M363" i="4"/>
  <c r="M364" i="4" a="1"/>
  <c r="M364" i="4"/>
  <c r="M365" i="4" a="1"/>
  <c r="M365" i="4" s="1"/>
  <c r="M366" i="4" a="1"/>
  <c r="M366" i="4"/>
  <c r="M367" i="4" a="1"/>
  <c r="M367" i="4"/>
  <c r="M368" i="4" a="1"/>
  <c r="M368" i="4"/>
  <c r="M369" i="4" a="1"/>
  <c r="M369" i="4" s="1"/>
  <c r="M370" i="4" a="1"/>
  <c r="M370" i="4"/>
  <c r="M371" i="4" a="1"/>
  <c r="M371" i="4"/>
  <c r="M372" i="4" a="1"/>
  <c r="M372" i="4" s="1"/>
  <c r="M373" i="4" a="1"/>
  <c r="M373" i="4" s="1"/>
  <c r="M374" i="4" a="1"/>
  <c r="M374" i="4" s="1"/>
  <c r="M375" i="4" a="1"/>
  <c r="M375" i="4"/>
  <c r="M376" i="4" a="1"/>
  <c r="M376" i="4"/>
  <c r="M377" i="4" a="1"/>
  <c r="M377" i="4" s="1"/>
  <c r="M378" i="4" a="1"/>
  <c r="M378" i="4" s="1"/>
  <c r="M379" i="4" a="1"/>
  <c r="M379" i="4"/>
  <c r="M380" i="4" a="1"/>
  <c r="M380" i="4"/>
  <c r="M381" i="4" a="1"/>
  <c r="M381" i="4" s="1"/>
  <c r="M382" i="4" a="1"/>
  <c r="M382" i="4" s="1"/>
  <c r="M383" i="4" a="1"/>
  <c r="M383" i="4" s="1"/>
  <c r="M384" i="4" a="1"/>
  <c r="M384" i="4"/>
  <c r="M385" i="4" a="1"/>
  <c r="M385" i="4" s="1"/>
  <c r="M386" i="4" a="1"/>
  <c r="M386" i="4" s="1"/>
  <c r="M387" i="4" a="1"/>
  <c r="M387" i="4"/>
  <c r="M388" i="4" a="1"/>
  <c r="M388" i="4" s="1"/>
  <c r="M389" i="4" a="1"/>
  <c r="M389" i="4" s="1"/>
  <c r="M390" i="4" a="1"/>
  <c r="M390" i="4" s="1"/>
  <c r="M391" i="4" a="1"/>
  <c r="M391" i="4"/>
  <c r="M392" i="4" a="1"/>
  <c r="M392" i="4"/>
  <c r="M393" i="4" a="1"/>
  <c r="M393" i="4" s="1"/>
  <c r="M394" i="4" a="1"/>
  <c r="M394" i="4" s="1"/>
  <c r="M395" i="4" a="1"/>
  <c r="M395" i="4"/>
  <c r="M396" i="4" a="1"/>
  <c r="M396" i="4"/>
  <c r="M397" i="4" a="1"/>
  <c r="M397" i="4" s="1"/>
  <c r="M398" i="4" a="1"/>
  <c r="M398" i="4" s="1"/>
  <c r="M399" i="4" a="1"/>
  <c r="M399" i="4" s="1"/>
  <c r="M400" i="4" a="1"/>
  <c r="M400" i="4"/>
  <c r="M401" i="4" a="1"/>
  <c r="M401" i="4" s="1"/>
  <c r="M402" i="4" a="1"/>
  <c r="M402" i="4" s="1"/>
  <c r="M403" i="4" a="1"/>
  <c r="M403" i="4"/>
  <c r="M404" i="4" a="1"/>
  <c r="M404" i="4" s="1"/>
  <c r="M405" i="4" a="1"/>
  <c r="M405" i="4" s="1"/>
  <c r="M406" i="4" a="1"/>
  <c r="M406" i="4" s="1"/>
  <c r="M407" i="4" a="1"/>
  <c r="M407" i="4" s="1"/>
  <c r="M408" i="4" a="1"/>
  <c r="M408" i="4"/>
  <c r="M409" i="4" a="1"/>
  <c r="M409" i="4" s="1"/>
  <c r="M410" i="4" a="1"/>
  <c r="M410" i="4" s="1"/>
  <c r="M411" i="4" a="1"/>
  <c r="M411" i="4"/>
  <c r="M412" i="4" a="1"/>
  <c r="M412" i="4" s="1"/>
  <c r="M413" i="4" a="1"/>
  <c r="M413" i="4" s="1"/>
  <c r="M414" i="4" a="1"/>
  <c r="M414" i="4" s="1"/>
  <c r="M415" i="4" a="1"/>
  <c r="M415" i="4" s="1"/>
  <c r="M416" i="4" a="1"/>
  <c r="M416" i="4" s="1"/>
  <c r="M417" i="4" a="1"/>
  <c r="M417" i="4" s="1"/>
  <c r="M418" i="4" a="1"/>
  <c r="M418" i="4" s="1"/>
  <c r="M419" i="4" a="1"/>
  <c r="M419" i="4"/>
  <c r="M420" i="4" a="1"/>
  <c r="M420" i="4" s="1"/>
  <c r="M421" i="4" a="1"/>
  <c r="M421" i="4" s="1"/>
  <c r="M422" i="4" a="1"/>
  <c r="M422" i="4" s="1"/>
  <c r="M423" i="4" a="1"/>
  <c r="M423" i="4" s="1"/>
  <c r="M424" i="4" a="1"/>
  <c r="M424" i="4"/>
  <c r="M425" i="4" a="1"/>
  <c r="M425" i="4" s="1"/>
  <c r="M426" i="4" a="1"/>
  <c r="M426" i="4" s="1"/>
  <c r="M427" i="4" a="1"/>
  <c r="M427" i="4"/>
  <c r="M428" i="4" a="1"/>
  <c r="M428" i="4" s="1"/>
  <c r="M429" i="4" a="1"/>
  <c r="M429" i="4" s="1"/>
  <c r="M430" i="4" a="1"/>
  <c r="M430" i="4" s="1"/>
  <c r="M431" i="4" a="1"/>
  <c r="M431" i="4"/>
  <c r="M432" i="4" a="1"/>
  <c r="M432" i="4" s="1"/>
  <c r="M433" i="4" a="1"/>
  <c r="M433" i="4" s="1"/>
  <c r="M434" i="4" a="1"/>
  <c r="M434" i="4" s="1"/>
  <c r="M435" i="4" a="1"/>
  <c r="M435" i="4"/>
  <c r="M436" i="4" a="1"/>
  <c r="M436" i="4"/>
  <c r="M437" i="4" a="1"/>
  <c r="M437" i="4" s="1"/>
  <c r="M438" i="4" a="1"/>
  <c r="M438" i="4" s="1"/>
  <c r="M439" i="4" a="1"/>
  <c r="M439" i="4" s="1"/>
  <c r="M440" i="4" a="1"/>
  <c r="M440" i="4" s="1"/>
  <c r="M441" i="4" a="1"/>
  <c r="M441" i="4" s="1"/>
  <c r="M442" i="4" a="1"/>
  <c r="M442" i="4" s="1"/>
  <c r="M443" i="4" a="1"/>
  <c r="M443" i="4"/>
  <c r="M444" i="4" a="1"/>
  <c r="M444" i="4" s="1"/>
  <c r="M445" i="4" a="1"/>
  <c r="M445" i="4" s="1"/>
  <c r="M446" i="4" a="1"/>
  <c r="M446" i="4" s="1"/>
  <c r="M447" i="4" a="1"/>
  <c r="M447" i="4"/>
  <c r="M448" i="4" a="1"/>
  <c r="M448" i="4"/>
  <c r="M449" i="4" a="1"/>
  <c r="M449" i="4" s="1"/>
  <c r="M450" i="4" a="1"/>
  <c r="M450" i="4" s="1"/>
  <c r="M451" i="4" a="1"/>
  <c r="M451" i="4"/>
  <c r="M452" i="4" a="1"/>
  <c r="M452" i="4"/>
  <c r="M453" i="4" a="1"/>
  <c r="M453" i="4" s="1"/>
  <c r="M454" i="4" a="1"/>
  <c r="M454" i="4" s="1"/>
  <c r="M455" i="4" a="1"/>
  <c r="M455" i="4" s="1"/>
  <c r="M456" i="4" a="1"/>
  <c r="M456" i="4"/>
  <c r="M457" i="4" a="1"/>
  <c r="M457" i="4" s="1"/>
  <c r="M458" i="4" a="1"/>
  <c r="M458" i="4" s="1"/>
  <c r="M459" i="4" a="1"/>
  <c r="M459" i="4"/>
  <c r="M460" i="4" a="1"/>
  <c r="M460" i="4" s="1"/>
  <c r="M461" i="4" a="1"/>
  <c r="M461" i="4" s="1"/>
  <c r="M462" i="4" a="1"/>
  <c r="M462" i="4" s="1"/>
  <c r="M463" i="4" a="1"/>
  <c r="M463" i="4" s="1"/>
  <c r="M464" i="4" a="1"/>
  <c r="M464" i="4"/>
  <c r="M465" i="4" a="1"/>
  <c r="M465" i="4" s="1"/>
  <c r="M466" i="4" a="1"/>
  <c r="M466" i="4" s="1"/>
  <c r="M467" i="4" a="1"/>
  <c r="M467" i="4"/>
  <c r="M468" i="4" a="1"/>
  <c r="M468" i="4" s="1"/>
  <c r="M469" i="4" a="1"/>
  <c r="M469" i="4" s="1"/>
  <c r="M470" i="4" a="1"/>
  <c r="M470" i="4" s="1"/>
  <c r="M471" i="4" a="1"/>
  <c r="M471" i="4" s="1"/>
  <c r="M472" i="4" a="1"/>
  <c r="M472" i="4"/>
  <c r="M473" i="4" a="1"/>
  <c r="M473" i="4" s="1"/>
  <c r="M474" i="4" a="1"/>
  <c r="M474" i="4" s="1"/>
  <c r="M475" i="4" a="1"/>
  <c r="M475" i="4" s="1"/>
  <c r="M476" i="4" a="1"/>
  <c r="M476" i="4" s="1"/>
  <c r="M477" i="4" a="1"/>
  <c r="M477" i="4" s="1"/>
  <c r="M478" i="4" a="1"/>
  <c r="M478" i="4" s="1"/>
  <c r="M479" i="4" a="1"/>
  <c r="M479" i="4"/>
  <c r="M480" i="4" a="1"/>
  <c r="M480" i="4" s="1"/>
  <c r="M481" i="4" a="1"/>
  <c r="M481" i="4" s="1"/>
  <c r="M482" i="4" a="1"/>
  <c r="M482" i="4" s="1"/>
  <c r="M483" i="4" a="1"/>
  <c r="M483" i="4"/>
  <c r="M484" i="4" a="1"/>
  <c r="M484" i="4"/>
  <c r="M485" i="4" a="1"/>
  <c r="M485" i="4" s="1"/>
  <c r="M486" i="4" a="1"/>
  <c r="M486" i="4" s="1"/>
  <c r="M487" i="4" a="1"/>
  <c r="M487" i="4" s="1"/>
  <c r="M488" i="4" a="1"/>
  <c r="M488" i="4"/>
  <c r="M489" i="4" a="1"/>
  <c r="M489" i="4" s="1"/>
  <c r="M490" i="4" a="1"/>
  <c r="M490" i="4" s="1"/>
  <c r="M491" i="4" a="1"/>
  <c r="M491" i="4" s="1"/>
  <c r="M492" i="4" a="1"/>
  <c r="M492" i="4" s="1"/>
  <c r="M493" i="4" a="1"/>
  <c r="M493" i="4" s="1"/>
  <c r="M494" i="4" a="1"/>
  <c r="M494" i="4" s="1"/>
  <c r="M495" i="4" a="1"/>
  <c r="M495" i="4"/>
  <c r="M496" i="4" a="1"/>
  <c r="M496" i="4"/>
  <c r="M497" i="4" a="1"/>
  <c r="M497" i="4" s="1"/>
  <c r="M498" i="4" a="1"/>
  <c r="M498" i="4" s="1"/>
  <c r="M499" i="4" a="1"/>
  <c r="M499" i="4"/>
  <c r="M500" i="4" a="1"/>
  <c r="M500" i="4"/>
  <c r="M501" i="4" a="1"/>
  <c r="M501" i="4" s="1"/>
  <c r="M502" i="4" a="1"/>
  <c r="M502" i="4" s="1"/>
  <c r="M503" i="4" a="1"/>
  <c r="M503" i="4" s="1"/>
  <c r="M504" i="4" a="1"/>
  <c r="M504" i="4"/>
  <c r="M505" i="4" a="1"/>
  <c r="M505" i="4" s="1"/>
  <c r="M506" i="4" a="1"/>
  <c r="M506" i="4" s="1"/>
  <c r="M507" i="4" a="1"/>
  <c r="M507" i="4"/>
  <c r="M508" i="4" a="1"/>
  <c r="M508" i="4" s="1"/>
  <c r="M509" i="4" a="1"/>
  <c r="M509" i="4" s="1"/>
  <c r="M510" i="4" a="1"/>
  <c r="M510" i="4" s="1"/>
  <c r="M511" i="4" a="1"/>
  <c r="M511" i="4"/>
  <c r="M512" i="4" a="1"/>
  <c r="M512" i="4"/>
  <c r="M513" i="4" a="1"/>
  <c r="M513" i="4" s="1"/>
  <c r="M514" i="4" a="1"/>
  <c r="M514" i="4" s="1"/>
  <c r="M515" i="4" a="1"/>
  <c r="M515" i="4"/>
  <c r="M516" i="4" a="1"/>
  <c r="M516" i="4"/>
  <c r="M517" i="4" a="1"/>
  <c r="M517" i="4" s="1"/>
  <c r="M518" i="4" a="1"/>
  <c r="M518" i="4" s="1"/>
  <c r="M519" i="4" a="1"/>
  <c r="M519" i="4" s="1"/>
  <c r="M520" i="4" a="1"/>
  <c r="M520" i="4"/>
  <c r="M521" i="4" a="1"/>
  <c r="M521" i="4" s="1"/>
  <c r="M522" i="4" a="1"/>
  <c r="M522" i="4" s="1"/>
  <c r="M523" i="4" a="1"/>
  <c r="M523" i="4"/>
  <c r="M524" i="4" a="1"/>
  <c r="M524" i="4" s="1"/>
  <c r="M525" i="4" a="1"/>
  <c r="M525" i="4" s="1"/>
  <c r="M526" i="4" a="1"/>
  <c r="M526" i="4"/>
  <c r="M527" i="4" a="1"/>
  <c r="M527" i="4" s="1"/>
  <c r="M528" i="4" a="1"/>
  <c r="M528" i="4" s="1"/>
  <c r="M529" i="4" a="1"/>
  <c r="M529" i="4" s="1"/>
  <c r="M530" i="4" a="1"/>
  <c r="M530" i="4"/>
  <c r="M531" i="4" a="1"/>
  <c r="M531" i="4" s="1"/>
  <c r="M532" i="4" a="1"/>
  <c r="M532" i="4" s="1"/>
  <c r="M533" i="4" a="1"/>
  <c r="M533" i="4" s="1"/>
  <c r="M534" i="4" a="1"/>
  <c r="M534" i="4"/>
  <c r="M535" i="4" a="1"/>
  <c r="M535" i="4"/>
  <c r="M536" i="4" a="1"/>
  <c r="M536" i="4" s="1"/>
  <c r="M537" i="4" a="1"/>
  <c r="M537" i="4" s="1"/>
  <c r="M538" i="4" a="1"/>
  <c r="M538" i="4" s="1"/>
  <c r="M539" i="4" a="1"/>
  <c r="M539" i="4"/>
  <c r="M540" i="4" a="1"/>
  <c r="M540" i="4"/>
  <c r="M541" i="4" a="1"/>
  <c r="M541" i="4" s="1"/>
  <c r="M542" i="4" a="1"/>
  <c r="M542" i="4" s="1"/>
  <c r="M543" i="4" a="1"/>
  <c r="M543" i="4"/>
  <c r="M544" i="4" a="1"/>
  <c r="M544" i="4"/>
  <c r="M545" i="4" a="1"/>
  <c r="M545" i="4" s="1"/>
  <c r="M546" i="4" a="1"/>
  <c r="M546" i="4" s="1"/>
  <c r="M547" i="4" a="1"/>
  <c r="M547" i="4" s="1"/>
  <c r="M548" i="4" a="1"/>
  <c r="M548" i="4"/>
  <c r="M549" i="4" a="1"/>
  <c r="M549" i="4" s="1"/>
  <c r="M550" i="4" a="1"/>
  <c r="M550" i="4"/>
  <c r="M551" i="4" a="1"/>
  <c r="M551" i="4" s="1"/>
  <c r="M552" i="4" a="1"/>
  <c r="M552" i="4"/>
  <c r="M553" i="4" a="1"/>
  <c r="M553" i="4" s="1"/>
  <c r="M554" i="4" a="1"/>
  <c r="M554" i="4"/>
  <c r="M555" i="4" a="1"/>
  <c r="M555" i="4"/>
  <c r="M556" i="4" a="1"/>
  <c r="M556" i="4" s="1"/>
  <c r="M557" i="4" a="1"/>
  <c r="M557" i="4"/>
  <c r="M558" i="4" a="1"/>
  <c r="M558" i="4"/>
  <c r="M559" i="4" a="1"/>
  <c r="M559" i="4"/>
  <c r="M560" i="4" a="1"/>
  <c r="M560" i="4" s="1"/>
  <c r="M561" i="4" a="1"/>
  <c r="M561" i="4"/>
  <c r="M562" i="4" a="1"/>
  <c r="M562" i="4" s="1"/>
  <c r="M563" i="4" a="1"/>
  <c r="M563" i="4"/>
  <c r="M564" i="4" a="1"/>
  <c r="M564" i="4" s="1"/>
  <c r="M565" i="4" a="1"/>
  <c r="M565" i="4"/>
  <c r="M566" i="4" a="1"/>
  <c r="M566" i="4"/>
  <c r="M567" i="4" a="1"/>
  <c r="M567" i="4"/>
  <c r="M568" i="4" a="1"/>
  <c r="M568" i="4" s="1"/>
  <c r="M569" i="4" a="1"/>
  <c r="M569" i="4"/>
  <c r="M570" i="4" a="1"/>
  <c r="M570" i="4" s="1"/>
  <c r="M571" i="4" a="1"/>
  <c r="M571" i="4" s="1"/>
  <c r="M572" i="4" a="1"/>
  <c r="M572" i="4" s="1"/>
  <c r="M573" i="4" a="1"/>
  <c r="M573" i="4" s="1"/>
  <c r="M574" i="4" a="1"/>
  <c r="M574" i="4"/>
  <c r="M575" i="4" a="1"/>
  <c r="M575" i="4" s="1"/>
  <c r="M576" i="4" a="1"/>
  <c r="M576" i="4" s="1"/>
  <c r="M577" i="4" a="1"/>
  <c r="M577" i="4" s="1"/>
  <c r="M578" i="4" a="1"/>
  <c r="M578" i="4"/>
  <c r="M579" i="4" a="1"/>
  <c r="M579" i="4"/>
  <c r="M580" i="4" a="1"/>
  <c r="M580" i="4" s="1"/>
  <c r="M581" i="4" a="1"/>
  <c r="M581" i="4" s="1"/>
  <c r="M582" i="4" a="1"/>
  <c r="M582" i="4" s="1"/>
  <c r="M583" i="4" a="1"/>
  <c r="M583" i="4"/>
  <c r="M584" i="4" a="1"/>
  <c r="M584" i="4" s="1"/>
  <c r="M585" i="4" a="1"/>
  <c r="M585" i="4" s="1"/>
  <c r="M586" i="4" a="1"/>
  <c r="M586" i="4" s="1"/>
  <c r="M587" i="4" a="1"/>
  <c r="M587" i="4" s="1"/>
  <c r="M588" i="4" a="1"/>
  <c r="M588" i="4" s="1"/>
  <c r="M589" i="4" a="1"/>
  <c r="M589" i="4" s="1"/>
  <c r="M590" i="4" a="1"/>
  <c r="M590" i="4"/>
  <c r="M591" i="4" a="1"/>
  <c r="M591" i="4" s="1"/>
  <c r="M592" i="4" a="1"/>
  <c r="M592" i="4" s="1"/>
  <c r="M593" i="4" a="1"/>
  <c r="M593" i="4" s="1"/>
  <c r="M594" i="4" a="1"/>
  <c r="M594" i="4"/>
  <c r="M595" i="4" a="1"/>
  <c r="M595" i="4"/>
  <c r="M596" i="4" a="1"/>
  <c r="M596" i="4" s="1"/>
  <c r="M597" i="4" a="1"/>
  <c r="M597" i="4" s="1"/>
  <c r="M598" i="4" a="1"/>
  <c r="M598" i="4" s="1"/>
  <c r="M599" i="4" a="1"/>
  <c r="M599" i="4"/>
  <c r="M600" i="4" a="1"/>
  <c r="M600" i="4" s="1"/>
  <c r="M601" i="4" a="1"/>
  <c r="M601" i="4" s="1"/>
  <c r="M602" i="4" a="1"/>
  <c r="M602" i="4" s="1"/>
  <c r="M603" i="4" a="1"/>
  <c r="M603" i="4" s="1"/>
  <c r="M604" i="4" a="1"/>
  <c r="M604" i="4" s="1"/>
  <c r="M605" i="4" a="1"/>
  <c r="M605" i="4" s="1"/>
  <c r="M606" i="4" a="1"/>
  <c r="M606" i="4"/>
  <c r="M607" i="4" a="1"/>
  <c r="M607" i="4" s="1"/>
  <c r="M608" i="4" a="1"/>
  <c r="M608" i="4" s="1"/>
  <c r="M609" i="4" a="1"/>
  <c r="M609" i="4" s="1"/>
  <c r="M610" i="4" a="1"/>
  <c r="M610" i="4"/>
  <c r="M611" i="4" a="1"/>
  <c r="M611" i="4" s="1"/>
  <c r="M612" i="4" a="1"/>
  <c r="M612" i="4" s="1"/>
  <c r="M613" i="4" a="1"/>
  <c r="M613" i="4" s="1"/>
  <c r="M614" i="4" a="1"/>
  <c r="M614" i="4" s="1"/>
  <c r="M615" i="4" a="1"/>
  <c r="M615" i="4"/>
  <c r="M616" i="4" a="1"/>
  <c r="M616" i="4" s="1"/>
  <c r="M617" i="4" a="1"/>
  <c r="M617" i="4" s="1"/>
  <c r="M618" i="4" a="1"/>
  <c r="M618" i="4" s="1"/>
  <c r="M619" i="4" a="1"/>
  <c r="M619" i="4" s="1"/>
  <c r="M620" i="4" a="1"/>
  <c r="M620" i="4" s="1"/>
  <c r="M621" i="4" a="1"/>
  <c r="M621" i="4" s="1"/>
  <c r="M622" i="4" a="1"/>
  <c r="M622" i="4" s="1"/>
  <c r="M623" i="4" a="1"/>
  <c r="M623" i="4" s="1"/>
  <c r="M624" i="4" a="1"/>
  <c r="M624" i="4" s="1"/>
  <c r="M625" i="4" a="1"/>
  <c r="M625" i="4" s="1"/>
  <c r="M626" i="4" a="1"/>
  <c r="M626" i="4"/>
  <c r="M627" i="4" a="1"/>
  <c r="M627" i="4" s="1"/>
  <c r="M628" i="4" a="1"/>
  <c r="M628" i="4" s="1"/>
  <c r="M629" i="4" a="1"/>
  <c r="M629" i="4" s="1"/>
  <c r="M630" i="4" a="1"/>
  <c r="M630" i="4" s="1"/>
  <c r="M631" i="4" a="1"/>
  <c r="M631" i="4"/>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c r="M643" i="4" a="1"/>
  <c r="M643" i="4"/>
  <c r="M644" i="4" a="1"/>
  <c r="M644" i="4" s="1"/>
  <c r="M645" i="4" a="1"/>
  <c r="M645" i="4" s="1"/>
  <c r="M646" i="4" a="1"/>
  <c r="M646" i="4" s="1"/>
  <c r="M647" i="4" a="1"/>
  <c r="M647" i="4"/>
  <c r="M648" i="4" a="1"/>
  <c r="M648" i="4" s="1"/>
  <c r="M649" i="4" a="1"/>
  <c r="M649" i="4" s="1"/>
  <c r="M650" i="4" a="1"/>
  <c r="M650" i="4" s="1"/>
  <c r="M651" i="4" a="1"/>
  <c r="M651" i="4" s="1"/>
  <c r="M652" i="4" a="1"/>
  <c r="M652" i="4" s="1"/>
  <c r="M653" i="4" a="1"/>
  <c r="M653" i="4" s="1"/>
  <c r="M654" i="4" a="1"/>
  <c r="M654" i="4"/>
  <c r="M655" i="4" a="1"/>
  <c r="M655" i="4" s="1"/>
  <c r="M656" i="4" a="1"/>
  <c r="M656" i="4" s="1"/>
  <c r="M657" i="4" a="1"/>
  <c r="M657" i="4" s="1"/>
  <c r="M658" i="4" a="1"/>
  <c r="M658" i="4"/>
  <c r="M659" i="4" a="1"/>
  <c r="M659" i="4"/>
  <c r="M660" i="4" a="1"/>
  <c r="M660" i="4" s="1"/>
  <c r="M661" i="4" a="1"/>
  <c r="M661" i="4" s="1"/>
  <c r="M662" i="4" a="1"/>
  <c r="M662" i="4" s="1"/>
  <c r="M663" i="4" a="1"/>
  <c r="M663" i="4"/>
  <c r="M664" i="4" a="1"/>
  <c r="M664" i="4" s="1"/>
  <c r="M665" i="4" a="1"/>
  <c r="M665" i="4" s="1"/>
  <c r="M666" i="4" a="1"/>
  <c r="M666" i="4" s="1"/>
  <c r="M667" i="4" a="1"/>
  <c r="M667" i="4" s="1"/>
  <c r="M668" i="4" a="1"/>
  <c r="M668" i="4" s="1"/>
  <c r="M669" i="4" a="1"/>
  <c r="M669" i="4" s="1"/>
  <c r="M670" i="4" a="1"/>
  <c r="M670" i="4"/>
  <c r="M671" i="4" a="1"/>
  <c r="M671" i="4" s="1"/>
  <c r="M672" i="4" a="1"/>
  <c r="M672" i="4" s="1"/>
  <c r="M673" i="4" a="1"/>
  <c r="M673" i="4" s="1"/>
  <c r="M674" i="4" a="1"/>
  <c r="M674" i="4"/>
  <c r="M675" i="4" a="1"/>
  <c r="M675" i="4"/>
  <c r="M676" i="4" a="1"/>
  <c r="M676" i="4" s="1"/>
  <c r="M677" i="4" a="1"/>
  <c r="M677" i="4" s="1"/>
  <c r="M678" i="4" a="1"/>
  <c r="M678" i="4" s="1"/>
  <c r="M679" i="4" a="1"/>
  <c r="M679" i="4"/>
  <c r="M680" i="4" a="1"/>
  <c r="M680" i="4" s="1"/>
  <c r="M681" i="4" a="1"/>
  <c r="M681" i="4" s="1"/>
  <c r="M682" i="4" a="1"/>
  <c r="M682" i="4" s="1"/>
  <c r="M683" i="4" a="1"/>
  <c r="M683" i="4" s="1"/>
  <c r="M684" i="4" a="1"/>
  <c r="M684" i="4" s="1"/>
  <c r="M685" i="4" a="1"/>
  <c r="M685" i="4" s="1"/>
  <c r="M686" i="4" a="1"/>
  <c r="M686" i="4"/>
  <c r="M687" i="4" a="1"/>
  <c r="M687" i="4" s="1"/>
  <c r="M688" i="4" a="1"/>
  <c r="M688" i="4" s="1"/>
  <c r="M689" i="4" a="1"/>
  <c r="M689" i="4" s="1"/>
  <c r="M690" i="4" a="1"/>
  <c r="M690" i="4"/>
  <c r="M691" i="4" a="1"/>
  <c r="M691" i="4"/>
  <c r="M692" i="4" a="1"/>
  <c r="M692" i="4" s="1"/>
  <c r="M693" i="4" a="1"/>
  <c r="M693" i="4" s="1"/>
  <c r="M694" i="4" a="1"/>
  <c r="M694" i="4" s="1"/>
  <c r="M695" i="4" a="1"/>
  <c r="M695" i="4"/>
  <c r="M696" i="4" a="1"/>
  <c r="M696" i="4" s="1"/>
  <c r="M697" i="4" a="1"/>
  <c r="M697" i="4" s="1"/>
  <c r="M698" i="4" a="1"/>
  <c r="M698" i="4" s="1"/>
  <c r="M699" i="4" a="1"/>
  <c r="M699" i="4" s="1"/>
  <c r="M700" i="4" a="1"/>
  <c r="M700" i="4" s="1"/>
  <c r="M701" i="4" a="1"/>
  <c r="M701" i="4" s="1"/>
  <c r="M702" i="4" a="1"/>
  <c r="M702" i="4"/>
  <c r="M703" i="4" a="1"/>
  <c r="M703" i="4" s="1"/>
  <c r="M704" i="4" a="1"/>
  <c r="M704" i="4" s="1"/>
  <c r="M705" i="4" a="1"/>
  <c r="M705" i="4" s="1"/>
  <c r="M706" i="4" a="1"/>
  <c r="M706" i="4"/>
  <c r="M707" i="4" a="1"/>
  <c r="M707" i="4"/>
  <c r="M708" i="4" a="1"/>
  <c r="M708" i="4" s="1"/>
  <c r="M709" i="4" a="1"/>
  <c r="M709" i="4" s="1"/>
  <c r="M710" i="4" a="1"/>
  <c r="M710" i="4" s="1"/>
  <c r="M711" i="4" a="1"/>
  <c r="M711" i="4"/>
  <c r="M712" i="4" a="1"/>
  <c r="M712" i="4" s="1"/>
  <c r="M713" i="4" a="1"/>
  <c r="M713" i="4" s="1"/>
  <c r="M714" i="4" a="1"/>
  <c r="M714" i="4" s="1"/>
  <c r="M715" i="4" a="1"/>
  <c r="M715" i="4" s="1"/>
  <c r="M716" i="4" a="1"/>
  <c r="M716" i="4" s="1"/>
  <c r="M717" i="4" a="1"/>
  <c r="M717" i="4" s="1"/>
  <c r="M718" i="4" a="1"/>
  <c r="M718" i="4"/>
  <c r="M719" i="4" a="1"/>
  <c r="M719" i="4" s="1"/>
  <c r="M720" i="4" a="1"/>
  <c r="M720" i="4" s="1"/>
  <c r="M721" i="4" a="1"/>
  <c r="M721" i="4" s="1"/>
  <c r="M722" i="4" a="1"/>
  <c r="M722" i="4"/>
  <c r="M723" i="4" a="1"/>
  <c r="M723" i="4"/>
  <c r="M724" i="4" a="1"/>
  <c r="M724" i="4" s="1"/>
  <c r="M725" i="4" a="1"/>
  <c r="M725" i="4" s="1"/>
  <c r="M726" i="4" a="1"/>
  <c r="M726" i="4" s="1"/>
  <c r="M727" i="4" a="1"/>
  <c r="M727" i="4"/>
  <c r="M728" i="4" a="1"/>
  <c r="M728" i="4" s="1"/>
  <c r="M729" i="4" a="1"/>
  <c r="M729" i="4" s="1"/>
  <c r="M730" i="4" a="1"/>
  <c r="M730" i="4" s="1"/>
  <c r="M731" i="4" a="1"/>
  <c r="M731" i="4" s="1"/>
  <c r="M732" i="4" a="1"/>
  <c r="M732" i="4" s="1"/>
  <c r="M733" i="4" a="1"/>
  <c r="M733" i="4" s="1"/>
  <c r="M734" i="4" a="1"/>
  <c r="M734" i="4"/>
  <c r="M735" i="4" a="1"/>
  <c r="M735" i="4" s="1"/>
  <c r="M736" i="4" a="1"/>
  <c r="M736" i="4" s="1"/>
  <c r="M737" i="4" a="1"/>
  <c r="M737" i="4" s="1"/>
  <c r="M738" i="4" a="1"/>
  <c r="M738" i="4"/>
  <c r="M739" i="4" a="1"/>
  <c r="M739" i="4"/>
  <c r="M740" i="4" a="1"/>
  <c r="M740" i="4" s="1"/>
  <c r="M741" i="4" a="1"/>
  <c r="M741" i="4" s="1"/>
  <c r="M742" i="4" a="1"/>
  <c r="M742" i="4" s="1"/>
  <c r="M743" i="4" a="1"/>
  <c r="M743" i="4"/>
  <c r="M744" i="4" a="1"/>
  <c r="M744" i="4" s="1"/>
  <c r="M745" i="4" a="1"/>
  <c r="M745" i="4" s="1"/>
  <c r="M746" i="4" a="1"/>
  <c r="M746" i="4" s="1"/>
  <c r="M747" i="4" a="1"/>
  <c r="M747" i="4" s="1"/>
  <c r="M748" i="4" a="1"/>
  <c r="M748" i="4" s="1"/>
  <c r="M749" i="4" a="1"/>
  <c r="M749" i="4" s="1"/>
  <c r="M750" i="4" a="1"/>
  <c r="M750" i="4"/>
  <c r="M751" i="4" a="1"/>
  <c r="M751" i="4" s="1"/>
  <c r="M752" i="4" a="1"/>
  <c r="M752" i="4" s="1"/>
  <c r="M753" i="4" a="1"/>
  <c r="M753" i="4" s="1"/>
  <c r="M754" i="4" a="1"/>
  <c r="M754" i="4"/>
  <c r="M755" i="4" a="1"/>
  <c r="M755" i="4"/>
  <c r="M756" i="4" a="1"/>
  <c r="M756" i="4" s="1"/>
  <c r="M757" i="4" a="1"/>
  <c r="M757" i="4" s="1"/>
  <c r="M758" i="4" a="1"/>
  <c r="M758" i="4" s="1"/>
  <c r="M759" i="4" a="1"/>
  <c r="M759" i="4"/>
  <c r="M760" i="4" a="1"/>
  <c r="M760" i="4" s="1"/>
  <c r="M761" i="4" a="1"/>
  <c r="M761" i="4" s="1"/>
  <c r="M762" i="4" a="1"/>
  <c r="M762" i="4" s="1"/>
  <c r="M763" i="4" a="1"/>
  <c r="M763" i="4" s="1"/>
  <c r="M764" i="4" a="1"/>
  <c r="M764" i="4" s="1"/>
  <c r="M765" i="4" a="1"/>
  <c r="M765" i="4" s="1"/>
  <c r="M766" i="4" a="1"/>
  <c r="M766" i="4"/>
  <c r="M767" i="4" a="1"/>
  <c r="M767" i="4" s="1"/>
  <c r="M768" i="4" a="1"/>
  <c r="M768" i="4" s="1"/>
  <c r="M769" i="4" a="1"/>
  <c r="M769" i="4" s="1"/>
  <c r="M770" i="4" a="1"/>
  <c r="M770" i="4"/>
  <c r="M771" i="4" a="1"/>
  <c r="M771" i="4"/>
  <c r="M772" i="4" a="1"/>
  <c r="M772" i="4" s="1"/>
  <c r="M773" i="4" a="1"/>
  <c r="M773" i="4" s="1"/>
  <c r="M774" i="4" a="1"/>
  <c r="M774" i="4" s="1"/>
  <c r="M775" i="4" a="1"/>
  <c r="M775" i="4"/>
  <c r="M776" i="4" a="1"/>
  <c r="M776" i="4" s="1"/>
  <c r="M777" i="4" a="1"/>
  <c r="M777" i="4" s="1"/>
  <c r="M778" i="4" a="1"/>
  <c r="M778" i="4" s="1"/>
  <c r="M779" i="4" a="1"/>
  <c r="M779" i="4" s="1"/>
  <c r="M780" i="4" a="1"/>
  <c r="M780" i="4" s="1"/>
  <c r="M781" i="4" a="1"/>
  <c r="M781" i="4" s="1"/>
  <c r="M782" i="4" a="1"/>
  <c r="M782" i="4"/>
  <c r="M783" i="4" a="1"/>
  <c r="M783" i="4" s="1"/>
  <c r="M784" i="4" a="1"/>
  <c r="M784" i="4" s="1"/>
  <c r="M785" i="4" a="1"/>
  <c r="M785" i="4" s="1"/>
  <c r="M786" i="4" a="1"/>
  <c r="M786" i="4"/>
  <c r="M787" i="4" a="1"/>
  <c r="M787" i="4"/>
  <c r="M788" i="4" a="1"/>
  <c r="M788" i="4" s="1"/>
  <c r="M789" i="4" a="1"/>
  <c r="M789" i="4" s="1"/>
  <c r="M790" i="4" a="1"/>
  <c r="M790" i="4" s="1"/>
  <c r="M791" i="4" a="1"/>
  <c r="M791" i="4"/>
  <c r="M792" i="4" a="1"/>
  <c r="M792" i="4" s="1"/>
  <c r="M793" i="4" a="1"/>
  <c r="M793" i="4" s="1"/>
  <c r="M794" i="4" a="1"/>
  <c r="M794" i="4" s="1"/>
  <c r="M795" i="4" a="1"/>
  <c r="M795" i="4" s="1"/>
  <c r="M796" i="4" a="1"/>
  <c r="M796" i="4" s="1"/>
  <c r="M797" i="4" a="1"/>
  <c r="M797" i="4" s="1"/>
  <c r="M798" i="4" a="1"/>
  <c r="M798" i="4"/>
  <c r="M799" i="4" a="1"/>
  <c r="M799" i="4" s="1"/>
  <c r="M800" i="4" a="1"/>
  <c r="M800" i="4" s="1"/>
  <c r="M801" i="4" a="1"/>
  <c r="M801" i="4" s="1"/>
  <c r="M802" i="4" a="1"/>
  <c r="M802" i="4"/>
  <c r="M803" i="4" a="1"/>
  <c r="M803" i="4"/>
  <c r="M804" i="4" a="1"/>
  <c r="M804" i="4" s="1"/>
  <c r="M805" i="4" a="1"/>
  <c r="M805" i="4" s="1"/>
  <c r="M806" i="4" a="1"/>
  <c r="M806" i="4" s="1"/>
  <c r="M807" i="4" a="1"/>
  <c r="M807" i="4"/>
  <c r="M808" i="4" a="1"/>
  <c r="M808" i="4" s="1"/>
  <c r="M809" i="4" a="1"/>
  <c r="M809" i="4" s="1"/>
  <c r="M810" i="4" a="1"/>
  <c r="M810" i="4" s="1"/>
  <c r="M811" i="4" a="1"/>
  <c r="M811" i="4" s="1"/>
  <c r="M812" i="4" a="1"/>
  <c r="M812" i="4" s="1"/>
  <c r="M813" i="4" a="1"/>
  <c r="M813" i="4" s="1"/>
  <c r="M814" i="4" a="1"/>
  <c r="M814" i="4"/>
  <c r="M815" i="4" a="1"/>
  <c r="M815" i="4" s="1"/>
  <c r="M816" i="4" a="1"/>
  <c r="M816" i="4" s="1"/>
  <c r="M817" i="4" a="1"/>
  <c r="M817" i="4" s="1"/>
  <c r="M818" i="4" a="1"/>
  <c r="M818" i="4"/>
  <c r="M819" i="4" a="1"/>
  <c r="M819" i="4"/>
  <c r="M820" i="4" a="1"/>
  <c r="M820" i="4" s="1"/>
  <c r="M821" i="4" a="1"/>
  <c r="M821" i="4" s="1"/>
  <c r="M822" i="4" a="1"/>
  <c r="M822" i="4" s="1"/>
  <c r="M823" i="4" a="1"/>
  <c r="M823" i="4"/>
  <c r="M824" i="4" a="1"/>
  <c r="M824" i="4" s="1"/>
  <c r="M825" i="4" a="1"/>
  <c r="M825" i="4" s="1"/>
  <c r="M826" i="4" a="1"/>
  <c r="M826" i="4" s="1"/>
  <c r="M827" i="4" a="1"/>
  <c r="M827" i="4" s="1"/>
  <c r="M828" i="4" a="1"/>
  <c r="M828" i="4" s="1"/>
  <c r="M829" i="4" a="1"/>
  <c r="M829" i="4" s="1"/>
  <c r="M830" i="4" a="1"/>
  <c r="M830" i="4"/>
  <c r="M831" i="4" a="1"/>
  <c r="M831" i="4" s="1"/>
  <c r="M832" i="4" a="1"/>
  <c r="M832" i="4" s="1"/>
  <c r="M833" i="4" a="1"/>
  <c r="M833" i="4" s="1"/>
  <c r="M834" i="4" a="1"/>
  <c r="M834" i="4"/>
  <c r="M835" i="4" a="1"/>
  <c r="M835" i="4"/>
  <c r="M836" i="4" a="1"/>
  <c r="M836" i="4" s="1"/>
  <c r="M837" i="4" a="1"/>
  <c r="M837" i="4" s="1"/>
  <c r="M838" i="4" a="1"/>
  <c r="M838" i="4" s="1"/>
  <c r="M839" i="4" a="1"/>
  <c r="M839" i="4"/>
  <c r="M840" i="4" a="1"/>
  <c r="M840" i="4" s="1"/>
  <c r="M841" i="4" a="1"/>
  <c r="M841" i="4" s="1"/>
  <c r="M842" i="4" a="1"/>
  <c r="M842" i="4" s="1"/>
  <c r="M843" i="4" a="1"/>
  <c r="M843" i="4" s="1"/>
  <c r="M844" i="4" a="1"/>
  <c r="M844" i="4" s="1"/>
  <c r="M845" i="4" a="1"/>
  <c r="M845" i="4" s="1"/>
  <c r="M846" i="4" a="1"/>
  <c r="M846" i="4"/>
  <c r="M847" i="4" a="1"/>
  <c r="M847" i="4" s="1"/>
  <c r="M848" i="4" a="1"/>
  <c r="M848" i="4" s="1"/>
  <c r="M849" i="4" a="1"/>
  <c r="M849" i="4" s="1"/>
  <c r="M850" i="4" a="1"/>
  <c r="M850" i="4"/>
  <c r="M851" i="4" a="1"/>
  <c r="M851" i="4"/>
  <c r="M852" i="4" a="1"/>
  <c r="M852" i="4" s="1"/>
  <c r="M853" i="4" a="1"/>
  <c r="M853" i="4" s="1"/>
  <c r="M854" i="4" a="1"/>
  <c r="M854" i="4" s="1"/>
  <c r="M855" i="4" a="1"/>
  <c r="M855" i="4"/>
  <c r="M856" i="4" a="1"/>
  <c r="M856" i="4" s="1"/>
  <c r="M857" i="4" a="1"/>
  <c r="M857" i="4" s="1"/>
  <c r="M858" i="4" a="1"/>
  <c r="M858" i="4" s="1"/>
  <c r="M859" i="4" a="1"/>
  <c r="M859" i="4" s="1"/>
  <c r="M860" i="4" a="1"/>
  <c r="M860" i="4" s="1"/>
  <c r="M861" i="4" a="1"/>
  <c r="M861" i="4" s="1"/>
  <c r="M862" i="4" a="1"/>
  <c r="M862" i="4"/>
  <c r="M863" i="4" a="1"/>
  <c r="M863" i="4" s="1"/>
  <c r="M864" i="4" a="1"/>
  <c r="M864" i="4" s="1"/>
  <c r="M865" i="4" a="1"/>
  <c r="M865" i="4" s="1"/>
  <c r="M866" i="4" a="1"/>
  <c r="M866" i="4"/>
  <c r="M867" i="4" a="1"/>
  <c r="M867" i="4"/>
  <c r="M868" i="4" a="1"/>
  <c r="M868" i="4" s="1"/>
  <c r="M869" i="4" a="1"/>
  <c r="M869" i="4" s="1"/>
  <c r="M870" i="4" a="1"/>
  <c r="M870" i="4" s="1"/>
  <c r="M871" i="4" a="1"/>
  <c r="M871" i="4"/>
  <c r="M872" i="4" a="1"/>
  <c r="M872" i="4" s="1"/>
  <c r="M873" i="4" a="1"/>
  <c r="M873" i="4" s="1"/>
  <c r="M874" i="4" a="1"/>
  <c r="M874" i="4" s="1"/>
  <c r="M875" i="4" a="1"/>
  <c r="M875" i="4" s="1"/>
  <c r="M876" i="4" a="1"/>
  <c r="M876" i="4" s="1"/>
  <c r="M877" i="4" a="1"/>
  <c r="M877" i="4" s="1"/>
  <c r="M878" i="4" a="1"/>
  <c r="M878" i="4"/>
  <c r="M879" i="4" a="1"/>
  <c r="M879" i="4" s="1"/>
  <c r="M880" i="4" a="1"/>
  <c r="M880" i="4" s="1"/>
  <c r="M881" i="4" a="1"/>
  <c r="M881" i="4" s="1"/>
  <c r="M882" i="4" a="1"/>
  <c r="M882" i="4"/>
  <c r="M883" i="4" a="1"/>
  <c r="M883" i="4"/>
  <c r="M884" i="4" a="1"/>
  <c r="M884" i="4" s="1"/>
  <c r="M885" i="4" a="1"/>
  <c r="M885" i="4" s="1"/>
  <c r="M886" i="4" a="1"/>
  <c r="M886" i="4" s="1"/>
  <c r="M887" i="4" a="1"/>
  <c r="M887" i="4"/>
  <c r="M888" i="4" a="1"/>
  <c r="M888" i="4" s="1"/>
  <c r="M889" i="4" a="1"/>
  <c r="M889" i="4" s="1"/>
  <c r="M890" i="4" a="1"/>
  <c r="M890" i="4" s="1"/>
  <c r="M891" i="4" a="1"/>
  <c r="M891" i="4" s="1"/>
  <c r="M892" i="4" a="1"/>
  <c r="M892" i="4" s="1"/>
  <c r="M893" i="4" a="1"/>
  <c r="M893" i="4" s="1"/>
  <c r="M894" i="4" a="1"/>
  <c r="M894" i="4"/>
  <c r="M895" i="4" a="1"/>
  <c r="M895" i="4" s="1"/>
  <c r="M896" i="4" a="1"/>
  <c r="M896" i="4" s="1"/>
  <c r="M897" i="4" a="1"/>
  <c r="M897" i="4" s="1"/>
  <c r="M898" i="4" a="1"/>
  <c r="M898" i="4"/>
  <c r="M899" i="4" a="1"/>
  <c r="M899" i="4"/>
  <c r="M900" i="4" a="1"/>
  <c r="M900" i="4" s="1"/>
  <c r="M901" i="4" a="1"/>
  <c r="M901" i="4" s="1"/>
  <c r="M902" i="4" a="1"/>
  <c r="M902" i="4" s="1"/>
  <c r="M903" i="4" a="1"/>
  <c r="M903" i="4"/>
  <c r="M904" i="4" a="1"/>
  <c r="M904" i="4" s="1"/>
  <c r="M905" i="4" a="1"/>
  <c r="M905" i="4" s="1"/>
  <c r="M906" i="4" a="1"/>
  <c r="M906" i="4" s="1"/>
  <c r="M907" i="4" a="1"/>
  <c r="M907" i="4" s="1"/>
  <c r="M908" i="4" a="1"/>
  <c r="M908" i="4" s="1"/>
  <c r="M909" i="4" a="1"/>
  <c r="M909" i="4"/>
  <c r="M910" i="4" a="1"/>
  <c r="M910" i="4"/>
  <c r="M911" i="4" a="1"/>
  <c r="M911" i="4"/>
  <c r="M912" i="4" a="1"/>
  <c r="M912" i="4" s="1"/>
  <c r="M913" i="4" a="1"/>
  <c r="M913" i="4"/>
  <c r="M914" i="4" a="1"/>
  <c r="M914" i="4"/>
  <c r="M915" i="4" a="1"/>
  <c r="M915" i="4" s="1"/>
  <c r="M916" i="4" a="1"/>
  <c r="M916" i="4" s="1"/>
  <c r="M917" i="4" a="1"/>
  <c r="M917" i="4"/>
  <c r="M918" i="4" a="1"/>
  <c r="M918" i="4"/>
  <c r="M919" i="4" a="1"/>
  <c r="M919" i="4"/>
  <c r="M920" i="4" a="1"/>
  <c r="M920" i="4" s="1"/>
  <c r="M921" i="4" a="1"/>
  <c r="M921" i="4" s="1"/>
  <c r="M922" i="4" a="1"/>
  <c r="M922" i="4"/>
  <c r="M923" i="4" a="1"/>
  <c r="M923" i="4"/>
  <c r="M924" i="4" a="1"/>
  <c r="M924" i="4" s="1"/>
  <c r="M925" i="4" a="1"/>
  <c r="M925" i="4"/>
  <c r="M926" i="4" a="1"/>
  <c r="M926" i="4"/>
  <c r="M927" i="4" a="1"/>
  <c r="M927" i="4"/>
  <c r="M928" i="4" a="1"/>
  <c r="M928" i="4" s="1"/>
  <c r="M929" i="4" a="1"/>
  <c r="M929" i="4" s="1"/>
  <c r="M930" i="4" a="1"/>
  <c r="M930" i="4" s="1"/>
  <c r="M931" i="4" a="1"/>
  <c r="M931" i="4"/>
  <c r="M932" i="4" a="1"/>
  <c r="M932" i="4" s="1"/>
  <c r="M933" i="4" a="1"/>
  <c r="M933" i="4"/>
  <c r="M934" i="4" a="1"/>
  <c r="M934" i="4"/>
  <c r="M935" i="4" a="1"/>
  <c r="M935" i="4"/>
  <c r="M936" i="4" a="1"/>
  <c r="M936" i="4" s="1"/>
  <c r="M937" i="4" a="1"/>
  <c r="M937" i="4"/>
  <c r="M938" i="4" a="1"/>
  <c r="M938" i="4" s="1"/>
  <c r="M939" i="4" a="1"/>
  <c r="M939" i="4" s="1"/>
  <c r="M940" i="4" a="1"/>
  <c r="M940" i="4" s="1"/>
  <c r="M941" i="4" a="1"/>
  <c r="M941" i="4"/>
  <c r="M942" i="4" a="1"/>
  <c r="M942" i="4"/>
  <c r="M943" i="4" a="1"/>
  <c r="M943" i="4"/>
  <c r="M944" i="4" a="1"/>
  <c r="M944" i="4" s="1"/>
  <c r="M945" i="4" a="1"/>
  <c r="M945" i="4"/>
  <c r="M946" i="4" a="1"/>
  <c r="M946" i="4"/>
  <c r="M947" i="4" a="1"/>
  <c r="M947" i="4" s="1"/>
  <c r="M948" i="4" a="1"/>
  <c r="M948" i="4" s="1"/>
  <c r="M949" i="4" a="1"/>
  <c r="M949" i="4"/>
  <c r="M950" i="4" a="1"/>
  <c r="M950" i="4"/>
  <c r="M951" i="4" a="1"/>
  <c r="M951" i="4"/>
  <c r="M952" i="4" a="1"/>
  <c r="M952" i="4" s="1"/>
  <c r="M953" i="4" a="1"/>
  <c r="M953" i="4" s="1"/>
  <c r="M954" i="4" a="1"/>
  <c r="M954" i="4"/>
  <c r="M955" i="4" a="1"/>
  <c r="M955" i="4"/>
  <c r="M956" i="4" a="1"/>
  <c r="M956" i="4" s="1"/>
  <c r="M957" i="4" a="1"/>
  <c r="M957" i="4"/>
  <c r="M958" i="4" a="1"/>
  <c r="M958" i="4"/>
  <c r="M959" i="4" a="1"/>
  <c r="M959" i="4"/>
  <c r="M960" i="4" a="1"/>
  <c r="M960" i="4" s="1"/>
  <c r="M961" i="4" a="1"/>
  <c r="M961" i="4" s="1"/>
  <c r="M962" i="4" a="1"/>
  <c r="M962" i="4" s="1"/>
  <c r="M963" i="4" a="1"/>
  <c r="M963" i="4"/>
  <c r="M964" i="4" a="1"/>
  <c r="M964" i="4" s="1"/>
  <c r="M965" i="4" a="1"/>
  <c r="M965" i="4"/>
  <c r="M966" i="4" a="1"/>
  <c r="M966" i="4"/>
  <c r="M967" i="4" a="1"/>
  <c r="M967" i="4"/>
  <c r="M968" i="4" a="1"/>
  <c r="M968" i="4" s="1"/>
  <c r="M969" i="4" a="1"/>
  <c r="M969" i="4"/>
  <c r="M970" i="4" a="1"/>
  <c r="M970" i="4" s="1"/>
  <c r="M971" i="4" a="1"/>
  <c r="M971" i="4" s="1"/>
  <c r="M972" i="4" a="1"/>
  <c r="M972" i="4" s="1"/>
  <c r="M973" i="4" a="1"/>
  <c r="M973" i="4"/>
  <c r="M974" i="4" a="1"/>
  <c r="M974" i="4"/>
  <c r="M975" i="4" a="1"/>
  <c r="M975" i="4"/>
  <c r="M976" i="4" a="1"/>
  <c r="M976" i="4" s="1"/>
  <c r="M977" i="4" a="1"/>
  <c r="M977" i="4"/>
  <c r="M978" i="4" a="1"/>
  <c r="M978" i="4"/>
  <c r="M979" i="4" a="1"/>
  <c r="M979" i="4" s="1"/>
  <c r="M980" i="4" a="1"/>
  <c r="M980" i="4" s="1"/>
  <c r="M981" i="4" a="1"/>
  <c r="M981" i="4"/>
  <c r="M982" i="4" a="1"/>
  <c r="M982" i="4"/>
  <c r="M983" i="4" a="1"/>
  <c r="M983" i="4"/>
  <c r="M984" i="4" a="1"/>
  <c r="M984" i="4" s="1"/>
  <c r="M985" i="4" a="1"/>
  <c r="M985" i="4" s="1"/>
  <c r="M986" i="4" a="1"/>
  <c r="M986" i="4"/>
  <c r="M987" i="4" a="1"/>
  <c r="M987" i="4"/>
  <c r="M988" i="4" a="1"/>
  <c r="M988" i="4" s="1"/>
  <c r="M989" i="4" a="1"/>
  <c r="M989" i="4"/>
  <c r="M990" i="4" a="1"/>
  <c r="M990" i="4"/>
  <c r="M991" i="4" a="1"/>
  <c r="M991" i="4"/>
  <c r="M992" i="4" a="1"/>
  <c r="M992" i="4" s="1"/>
  <c r="M993" i="4" a="1"/>
  <c r="M993" i="4" s="1"/>
  <c r="M994" i="4" a="1"/>
  <c r="M994" i="4" s="1"/>
  <c r="M995" i="4" a="1"/>
  <c r="M995" i="4"/>
  <c r="M996" i="4" a="1"/>
  <c r="M996" i="4" s="1"/>
  <c r="M997" i="4" a="1"/>
  <c r="M997" i="4"/>
  <c r="M998" i="4" a="1"/>
  <c r="M998" i="4"/>
  <c r="M999" i="4" a="1"/>
  <c r="M999" i="4"/>
  <c r="M1000" i="4" a="1"/>
  <c r="M1000" i="4" s="1"/>
  <c r="M1001" i="4" a="1"/>
  <c r="M1001"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<sst xmlns="http://schemas.openxmlformats.org/spreadsheetml/2006/main" count="16275" uniqueCount="53">
  <si>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</si>
  <si>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</si>
  <si>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</si>
  <si>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</si>
  <si>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</si>
  <si>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</si>
  <si>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</si>
  <si>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</si>
  <si>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</si>
  <si>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</si>
  <si>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</si>
  <si>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</si>
  <si>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</si>
  <si>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</si>
  <si>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</si>
  <si>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</si>
  <si>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</si>
  <si>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</si>
  <si>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</si>
  <si>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</si>
  <si>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</si>
  <si>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</si>
  <si>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</si>
  <si>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</si>
  <si>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</si>
  <si>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</si>
  <si>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</si>
  <si>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</si>
  <si>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</si>
  <si>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</si>
  <si>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</si>
  <si>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</si>
  <si>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</si>
  <si>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</si>
  <si>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</si>
  <si>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</si>
  <si>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</si>
  <si>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</si>
  <si>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</si>
  <si>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</si>
  <si>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</si>
  <si>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 xml:space="preserve"> ID</t>
  </si>
  <si>
    <t>Row Labels</t>
  </si>
  <si>
    <t>Grand Total</t>
  </si>
  <si>
    <t>Column Labels</t>
  </si>
  <si>
    <t>Average of Income</t>
  </si>
  <si>
    <t>Count of Purchased Bike</t>
  </si>
  <si>
    <t>More than 10+ Miles</t>
  </si>
  <si>
    <t>Middle Age 31-54</t>
  </si>
  <si>
    <t>Old 55+</t>
  </si>
  <si>
    <t>Adolescent 0-30</t>
  </si>
  <si>
    <t>Bikes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</si>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</sst>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68"/>
      <color theme="0"/>
      <name val="Calibri (Body)"/>
    </font>
    <font>
      <b/>
      <sz val="68"/>
      <color rgb="FF0070C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table'!$F$27:$F$28</c:f>
              <c:strCache>
                <c:ptCount val="1"/>
                <c:pt idx="0">
                  <c:v>No</c:v>
                </c:pt>
              </c:strCache>
            </c:strRef>
          </c:tx>
          <c:spPr>
            <a:solidFill>
              <a:schemeClr val="accent1"/>
            </a:solidFill>
            <a:ln>
              <a:noFill/>
            </a:ln>
            <a:effectLst/>
          </c:spPr>
          <c:invertIfNegative val="0"/>
          <c:cat>
            <c:strRef>
              <c:f>'Pivot table'!$E$29:$E$31</c:f>
              <c:strCache>
                <c:ptCount val="2"/>
                <c:pt idx="0">
                  <c:v>Female</c:v>
                </c:pt>
                <c:pt idx="1">
                  <c:v>Male</c:v>
                </c:pt>
              </c:strCache>
            </c:strRef>
          </c:cat>
          <c:val>
            <c:numRef>
              <c:f>'Pivot table'!$F$29:$F$31</c:f>
              <c:numCache>
                <c:formatCode>0</c:formatCode>
                <c:ptCount val="2"/>
                <c:pt idx="0">
                  <c:v>58571.428571428572</c:v>
                </c:pt>
                <c:pt idx="1">
                  <c:v>61190.476190476191</c:v>
                </c:pt>
              </c:numCache>
            </c:numRef>
          </c:val>
          <c:extLst>
            <c:ext xmlns:c16="http://schemas.microsoft.com/office/drawing/2014/chart" uri="{C3380CC4-5D6E-409C-BE32-E72D297353CC}">
              <c16:uniqueId val="{00000000-2108-D84D-B9BB-9E85517255A2}"/>
            </c:ext>
          </c:extLst>
        </c:ser>
        <c:ser>
          <c:idx val="1"/>
          <c:order val="1"/>
          <c:tx>
            <c:strRef>
              <c:f>'Pivot table'!$G$27:$G$28</c:f>
              <c:strCache>
                <c:ptCount val="1"/>
                <c:pt idx="0">
                  <c:v>Yes</c:v>
                </c:pt>
              </c:strCache>
            </c:strRef>
          </c:tx>
          <c:spPr>
            <a:solidFill>
              <a:schemeClr val="accent2"/>
            </a:solidFill>
            <a:ln>
              <a:noFill/>
            </a:ln>
            <a:effectLst/>
          </c:spPr>
          <c:invertIfNegative val="0"/>
          <c:cat>
            <c:strRef>
              <c:f>'Pivot table'!$E$29:$E$31</c:f>
              <c:strCache>
                <c:ptCount val="2"/>
                <c:pt idx="0">
                  <c:v>Female</c:v>
                </c:pt>
                <c:pt idx="1">
                  <c:v>Male</c:v>
                </c:pt>
              </c:strCache>
            </c:strRef>
          </c:cat>
          <c:val>
            <c:numRef>
              <c:f>'Pivot table'!$G$29:$G$31</c:f>
              <c:numCache>
                <c:formatCode>0</c:formatCode>
                <c:ptCount val="2"/>
                <c:pt idx="0">
                  <c:v>64406.779661016946</c:v>
                </c:pt>
                <c:pt idx="1">
                  <c:v>68333.333333333328</c:v>
                </c:pt>
              </c:numCache>
            </c:numRef>
          </c:val>
          <c:extLst>
            <c:ext xmlns:c16="http://schemas.microsoft.com/office/drawing/2014/chart" uri="{C3380CC4-5D6E-409C-BE32-E72D297353CC}">
              <c16:uniqueId val="{00000001-2108-D84D-B9BB-9E85517255A2}"/>
            </c:ext>
          </c:extLst>
        </c:ser>
        <c:dLbls>
          <c:showLegendKey val="0"/>
          <c:showVal val="0"/>
          <c:showCatName val="0"/>
          <c:showSerName val="0"/>
          <c:showPercent val="0"/>
          <c:showBubbleSize val="0"/>
        </c:dLbls>
        <c:gapWidth val="219"/>
        <c:overlap val="-27"/>
        <c:axId val="289090320"/>
        <c:axId val="1502888784"/>
      </c:barChart>
      <c:catAx>
        <c:axId val="28909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88784"/>
        <c:crosses val="autoZero"/>
        <c:auto val="1"/>
        <c:lblAlgn val="ctr"/>
        <c:lblOffset val="100"/>
        <c:noMultiLvlLbl val="0"/>
      </c:catAx>
      <c:valAx>
        <c:axId val="1502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90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table'!$F$47:$F$48</c:f>
              <c:strCache>
                <c:ptCount val="1"/>
                <c:pt idx="0">
                  <c:v>No</c:v>
                </c:pt>
              </c:strCache>
            </c:strRef>
          </c:tx>
          <c:spPr>
            <a:ln w="28575" cap="rnd">
              <a:solidFill>
                <a:schemeClr val="accent1"/>
              </a:solidFill>
              <a:round/>
            </a:ln>
            <a:effectLst/>
          </c:spPr>
          <c:marker>
            <c:symbol val="none"/>
          </c:marker>
          <c:cat>
            <c:strRef>
              <c:f>'Pivot table'!$E$49:$E$54</c:f>
              <c:strCache>
                <c:ptCount val="5"/>
                <c:pt idx="0">
                  <c:v>0-1 Miles</c:v>
                </c:pt>
                <c:pt idx="1">
                  <c:v>1-2 Miles</c:v>
                </c:pt>
                <c:pt idx="2">
                  <c:v>2-5 Miles</c:v>
                </c:pt>
                <c:pt idx="3">
                  <c:v>5-10 Miles</c:v>
                </c:pt>
                <c:pt idx="4">
                  <c:v>More than 10+ Miles</c:v>
                </c:pt>
              </c:strCache>
            </c:strRef>
          </c:cat>
          <c:val>
            <c:numRef>
              <c:f>'Pivot table'!$F$49:$F$54</c:f>
              <c:numCache>
                <c:formatCode>General</c:formatCode>
                <c:ptCount val="5"/>
                <c:pt idx="0">
                  <c:v>161</c:v>
                </c:pt>
                <c:pt idx="1">
                  <c:v>87</c:v>
                </c:pt>
                <c:pt idx="2">
                  <c:v>66</c:v>
                </c:pt>
                <c:pt idx="3">
                  <c:v>108</c:v>
                </c:pt>
                <c:pt idx="4">
                  <c:v>72</c:v>
                </c:pt>
              </c:numCache>
            </c:numRef>
          </c:val>
          <c:smooth val="0"/>
          <c:extLst>
            <c:ext xmlns:c16="http://schemas.microsoft.com/office/drawing/2014/chart" uri="{C3380CC4-5D6E-409C-BE32-E72D297353CC}">
              <c16:uniqueId val="{00000000-0017-2943-80C1-3A9C4DCA69C7}"/>
            </c:ext>
          </c:extLst>
        </c:ser>
        <c:ser>
          <c:idx val="1"/>
          <c:order val="1"/>
          <c:tx>
            <c:strRef>
              <c:f>'Pivot table'!$G$47:$G$48</c:f>
              <c:strCache>
                <c:ptCount val="1"/>
                <c:pt idx="0">
                  <c:v>Yes</c:v>
                </c:pt>
              </c:strCache>
            </c:strRef>
          </c:tx>
          <c:spPr>
            <a:ln w="28575" cap="rnd">
              <a:solidFill>
                <a:schemeClr val="accent2"/>
              </a:solidFill>
              <a:round/>
            </a:ln>
            <a:effectLst/>
          </c:spPr>
          <c:marker>
            <c:symbol val="none"/>
          </c:marker>
          <c:cat>
            <c:strRef>
              <c:f>'Pivot table'!$E$49:$E$54</c:f>
              <c:strCache>
                <c:ptCount val="5"/>
                <c:pt idx="0">
                  <c:v>0-1 Miles</c:v>
                </c:pt>
                <c:pt idx="1">
                  <c:v>1-2 Miles</c:v>
                </c:pt>
                <c:pt idx="2">
                  <c:v>2-5 Miles</c:v>
                </c:pt>
                <c:pt idx="3">
                  <c:v>5-10 Miles</c:v>
                </c:pt>
                <c:pt idx="4">
                  <c:v>More than 10+ Miles</c:v>
                </c:pt>
              </c:strCache>
            </c:strRef>
          </c:cat>
          <c:val>
            <c:numRef>
              <c:f>'Pivot table'!$G$49:$G$54</c:f>
              <c:numCache>
                <c:formatCode>General</c:formatCode>
                <c:ptCount val="5"/>
                <c:pt idx="0">
                  <c:v>196</c:v>
                </c:pt>
                <c:pt idx="1">
                  <c:v>73</c:v>
                </c:pt>
                <c:pt idx="2">
                  <c:v>91</c:v>
                </c:pt>
                <c:pt idx="3">
                  <c:v>74</c:v>
                </c:pt>
                <c:pt idx="4">
                  <c:v>30</c:v>
                </c:pt>
              </c:numCache>
            </c:numRef>
          </c:val>
          <c:smooth val="0"/>
          <c:extLst>
            <c:ext xmlns:c16="http://schemas.microsoft.com/office/drawing/2014/chart" uri="{C3380CC4-5D6E-409C-BE32-E72D297353CC}">
              <c16:uniqueId val="{00000001-0017-2943-80C1-3A9C4DCA69C7}"/>
            </c:ext>
          </c:extLst>
        </c:ser>
        <c:dLbls>
          <c:showLegendKey val="0"/>
          <c:showVal val="0"/>
          <c:showCatName val="0"/>
          <c:showSerName val="0"/>
          <c:showPercent val="0"/>
          <c:showBubbleSize val="0"/>
        </c:dLbls>
        <c:smooth val="0"/>
        <c:axId val="1593153312"/>
        <c:axId val="426039967"/>
      </c:lineChart>
      <c:catAx>
        <c:axId val="159315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39967"/>
        <c:crosses val="autoZero"/>
        <c:auto val="1"/>
        <c:lblAlgn val="ctr"/>
        <c:lblOffset val="100"/>
        <c:noMultiLvlLbl val="0"/>
      </c:catAx>
      <c:valAx>
        <c:axId val="4260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15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table'!$F$76:$F$77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table'!$E$78:$E$81</c:f>
              <c:strCache>
                <c:ptCount val="3"/>
                <c:pt idx="0">
                  <c:v>Middle Age 31-54</c:v>
                </c:pt>
                <c:pt idx="1">
                  <c:v>Old 55+</c:v>
                </c:pt>
                <c:pt idx="2">
                  <c:v>Adolescent 0-30</c:v>
                </c:pt>
              </c:strCache>
            </c:strRef>
          </c:cat>
          <c:val>
            <c:numRef>
              <c:f>'Pivot table'!$F$78:$F$81</c:f>
              <c:numCache>
                <c:formatCode>General</c:formatCode>
                <c:ptCount val="3"/>
                <c:pt idx="0">
                  <c:v>56</c:v>
                </c:pt>
                <c:pt idx="1">
                  <c:v>16</c:v>
                </c:pt>
                <c:pt idx="2">
                  <c:v>26</c:v>
                </c:pt>
              </c:numCache>
            </c:numRef>
          </c:val>
          <c:smooth val="0"/>
          <c:extLst>
            <c:ext xmlns:c16="http://schemas.microsoft.com/office/drawing/2014/chart" uri="{C3380CC4-5D6E-409C-BE32-E72D297353CC}">
              <c16:uniqueId val="{00000000-8701-A142-ABC2-D78ECC41F3CB}"/>
            </c:ext>
          </c:extLst>
        </c:ser>
        <c:ser>
          <c:idx val="1"/>
          <c:order val="1"/>
          <c:tx>
            <c:strRef>
              <c:f>'Pivot table'!$G$76:$G$77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table'!$E$78:$E$81</c:f>
              <c:strCache>
                <c:ptCount val="3"/>
                <c:pt idx="0">
                  <c:v>Middle Age 31-54</c:v>
                </c:pt>
                <c:pt idx="1">
                  <c:v>Old 55+</c:v>
                </c:pt>
                <c:pt idx="2">
                  <c:v>Adolescent 0-30</c:v>
                </c:pt>
              </c:strCache>
            </c:strRef>
          </c:cat>
          <c:val>
            <c:numRef>
              <c:f>'Pivot table'!$G$78:$G$81</c:f>
              <c:numCache>
                <c:formatCode>General</c:formatCode>
                <c:ptCount val="3"/>
                <c:pt idx="0">
                  <c:v>89</c:v>
                </c:pt>
                <c:pt idx="1">
                  <c:v>17</c:v>
                </c:pt>
                <c:pt idx="2">
                  <c:v>7</c:v>
                </c:pt>
              </c:numCache>
            </c:numRef>
          </c:val>
          <c:smooth val="0"/>
          <c:extLst>
            <c:ext xmlns:c16="http://schemas.microsoft.com/office/drawing/2014/chart" uri="{C3380CC4-5D6E-409C-BE32-E72D297353CC}">
              <c16:uniqueId val="{00000001-8701-A142-ABC2-D78ECC41F3CB}"/>
            </c:ext>
          </c:extLst>
        </c:ser>
        <c:dLbls>
          <c:showLegendKey val="0"/>
          <c:showVal val="0"/>
          <c:showCatName val="0"/>
          <c:showSerName val="0"/>
          <c:showPercent val="0"/>
          <c:showBubbleSize val="0"/>
        </c:dLbls>
        <c:marker val="1"/>
        <c:smooth val="0"/>
        <c:axId val="416479567"/>
        <c:axId val="416471279"/>
      </c:lineChart>
      <c:catAx>
        <c:axId val="41647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1279"/>
        <c:crosses val="autoZero"/>
        <c:auto val="1"/>
        <c:lblAlgn val="ctr"/>
        <c:lblOffset val="100"/>
        <c:noMultiLvlLbl val="0"/>
      </c:catAx>
      <c:valAx>
        <c:axId val="41647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table'!$F$98:$F$99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table'!$E$100:$E$145</c:f>
              <c:strCache>
                <c:ptCount val="45"/>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58</c:v>
                </c:pt>
                <c:pt idx="33">
                  <c:v>59</c:v>
                </c:pt>
                <c:pt idx="34">
                  <c:v>60</c:v>
                </c:pt>
                <c:pt idx="35">
                  <c:v>61</c:v>
                </c:pt>
                <c:pt idx="36">
                  <c:v>62</c:v>
                </c:pt>
                <c:pt idx="37">
                  <c:v>63</c:v>
                </c:pt>
                <c:pt idx="38">
                  <c:v>65</c:v>
                </c:pt>
                <c:pt idx="39">
                  <c:v>66</c:v>
                </c:pt>
                <c:pt idx="40">
                  <c:v>67</c:v>
                </c:pt>
                <c:pt idx="41">
                  <c:v>69</c:v>
                </c:pt>
                <c:pt idx="42">
                  <c:v>73</c:v>
                </c:pt>
                <c:pt idx="43">
                  <c:v>74</c:v>
                </c:pt>
                <c:pt idx="44">
                  <c:v>78</c:v>
                </c:pt>
              </c:strCache>
            </c:strRef>
          </c:cat>
          <c:val>
            <c:numRef>
              <c:f>'Pivot table'!$F$100:$F$145</c:f>
              <c:numCache>
                <c:formatCode>General</c:formatCode>
                <c:ptCount val="45"/>
                <c:pt idx="1">
                  <c:v>5</c:v>
                </c:pt>
                <c:pt idx="2">
                  <c:v>6</c:v>
                </c:pt>
                <c:pt idx="3">
                  <c:v>3</c:v>
                </c:pt>
                <c:pt idx="4">
                  <c:v>3</c:v>
                </c:pt>
                <c:pt idx="5">
                  <c:v>9</c:v>
                </c:pt>
                <c:pt idx="6">
                  <c:v>6</c:v>
                </c:pt>
                <c:pt idx="7">
                  <c:v>2</c:v>
                </c:pt>
                <c:pt idx="8">
                  <c:v>1</c:v>
                </c:pt>
                <c:pt idx="9">
                  <c:v>1</c:v>
                </c:pt>
                <c:pt idx="10">
                  <c:v>1</c:v>
                </c:pt>
                <c:pt idx="11">
                  <c:v>1</c:v>
                </c:pt>
                <c:pt idx="13">
                  <c:v>2</c:v>
                </c:pt>
                <c:pt idx="14">
                  <c:v>1</c:v>
                </c:pt>
                <c:pt idx="15">
                  <c:v>5</c:v>
                </c:pt>
                <c:pt idx="17">
                  <c:v>4</c:v>
                </c:pt>
                <c:pt idx="18">
                  <c:v>2</c:v>
                </c:pt>
                <c:pt idx="19">
                  <c:v>6</c:v>
                </c:pt>
                <c:pt idx="20">
                  <c:v>3</c:v>
                </c:pt>
                <c:pt idx="22">
                  <c:v>5</c:v>
                </c:pt>
                <c:pt idx="23">
                  <c:v>2</c:v>
                </c:pt>
                <c:pt idx="24">
                  <c:v>4</c:v>
                </c:pt>
                <c:pt idx="25">
                  <c:v>4</c:v>
                </c:pt>
                <c:pt idx="26">
                  <c:v>2</c:v>
                </c:pt>
                <c:pt idx="27">
                  <c:v>3</c:v>
                </c:pt>
                <c:pt idx="28">
                  <c:v>1</c:v>
                </c:pt>
                <c:pt idx="30">
                  <c:v>2</c:v>
                </c:pt>
                <c:pt idx="31">
                  <c:v>2</c:v>
                </c:pt>
                <c:pt idx="32">
                  <c:v>1</c:v>
                </c:pt>
                <c:pt idx="33">
                  <c:v>1</c:v>
                </c:pt>
                <c:pt idx="35">
                  <c:v>1</c:v>
                </c:pt>
                <c:pt idx="37">
                  <c:v>1</c:v>
                </c:pt>
                <c:pt idx="38">
                  <c:v>1</c:v>
                </c:pt>
                <c:pt idx="39">
                  <c:v>2</c:v>
                </c:pt>
                <c:pt idx="40">
                  <c:v>2</c:v>
                </c:pt>
                <c:pt idx="41">
                  <c:v>1</c:v>
                </c:pt>
                <c:pt idx="42">
                  <c:v>1</c:v>
                </c:pt>
                <c:pt idx="44">
                  <c:v>1</c:v>
                </c:pt>
              </c:numCache>
            </c:numRef>
          </c:val>
          <c:smooth val="0"/>
          <c:extLst>
            <c:ext xmlns:c16="http://schemas.microsoft.com/office/drawing/2014/chart" uri="{C3380CC4-5D6E-409C-BE32-E72D297353CC}">
              <c16:uniqueId val="{00000000-491A-C147-BD55-620311AF99A6}"/>
            </c:ext>
          </c:extLst>
        </c:ser>
        <c:ser>
          <c:idx val="1"/>
          <c:order val="1"/>
          <c:tx>
            <c:strRef>
              <c:f>'Pivot table'!$G$98:$G$99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table'!$E$100:$E$145</c:f>
              <c:strCache>
                <c:ptCount val="45"/>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58</c:v>
                </c:pt>
                <c:pt idx="33">
                  <c:v>59</c:v>
                </c:pt>
                <c:pt idx="34">
                  <c:v>60</c:v>
                </c:pt>
                <c:pt idx="35">
                  <c:v>61</c:v>
                </c:pt>
                <c:pt idx="36">
                  <c:v>62</c:v>
                </c:pt>
                <c:pt idx="37">
                  <c:v>63</c:v>
                </c:pt>
                <c:pt idx="38">
                  <c:v>65</c:v>
                </c:pt>
                <c:pt idx="39">
                  <c:v>66</c:v>
                </c:pt>
                <c:pt idx="40">
                  <c:v>67</c:v>
                </c:pt>
                <c:pt idx="41">
                  <c:v>69</c:v>
                </c:pt>
                <c:pt idx="42">
                  <c:v>73</c:v>
                </c:pt>
                <c:pt idx="43">
                  <c:v>74</c:v>
                </c:pt>
                <c:pt idx="44">
                  <c:v>78</c:v>
                </c:pt>
              </c:strCache>
            </c:strRef>
          </c:cat>
          <c:val>
            <c:numRef>
              <c:f>'Pivot table'!$G$100:$G$145</c:f>
              <c:numCache>
                <c:formatCode>General</c:formatCode>
                <c:ptCount val="45"/>
                <c:pt idx="0">
                  <c:v>1</c:v>
                </c:pt>
                <c:pt idx="2">
                  <c:v>3</c:v>
                </c:pt>
                <c:pt idx="3">
                  <c:v>2</c:v>
                </c:pt>
                <c:pt idx="5">
                  <c:v>1</c:v>
                </c:pt>
                <c:pt idx="6">
                  <c:v>4</c:v>
                </c:pt>
                <c:pt idx="7">
                  <c:v>2</c:v>
                </c:pt>
                <c:pt idx="8">
                  <c:v>3</c:v>
                </c:pt>
                <c:pt idx="9">
                  <c:v>3</c:v>
                </c:pt>
                <c:pt idx="10">
                  <c:v>4</c:v>
                </c:pt>
                <c:pt idx="11">
                  <c:v>5</c:v>
                </c:pt>
                <c:pt idx="12">
                  <c:v>7</c:v>
                </c:pt>
                <c:pt idx="13">
                  <c:v>10</c:v>
                </c:pt>
                <c:pt idx="14">
                  <c:v>3</c:v>
                </c:pt>
                <c:pt idx="15">
                  <c:v>4</c:v>
                </c:pt>
                <c:pt idx="16">
                  <c:v>6</c:v>
                </c:pt>
                <c:pt idx="17">
                  <c:v>3</c:v>
                </c:pt>
                <c:pt idx="18">
                  <c:v>6</c:v>
                </c:pt>
                <c:pt idx="19">
                  <c:v>2</c:v>
                </c:pt>
                <c:pt idx="20">
                  <c:v>3</c:v>
                </c:pt>
                <c:pt idx="21">
                  <c:v>1</c:v>
                </c:pt>
                <c:pt idx="22">
                  <c:v>6</c:v>
                </c:pt>
                <c:pt idx="23">
                  <c:v>1</c:v>
                </c:pt>
                <c:pt idx="24">
                  <c:v>2</c:v>
                </c:pt>
                <c:pt idx="25">
                  <c:v>2</c:v>
                </c:pt>
                <c:pt idx="26">
                  <c:v>2</c:v>
                </c:pt>
                <c:pt idx="27">
                  <c:v>3</c:v>
                </c:pt>
                <c:pt idx="28">
                  <c:v>5</c:v>
                </c:pt>
                <c:pt idx="29">
                  <c:v>2</c:v>
                </c:pt>
                <c:pt idx="32">
                  <c:v>2</c:v>
                </c:pt>
                <c:pt idx="33">
                  <c:v>3</c:v>
                </c:pt>
                <c:pt idx="34">
                  <c:v>5</c:v>
                </c:pt>
                <c:pt idx="35">
                  <c:v>1</c:v>
                </c:pt>
                <c:pt idx="36">
                  <c:v>2</c:v>
                </c:pt>
                <c:pt idx="39">
                  <c:v>1</c:v>
                </c:pt>
                <c:pt idx="40">
                  <c:v>1</c:v>
                </c:pt>
                <c:pt idx="42">
                  <c:v>1</c:v>
                </c:pt>
                <c:pt idx="43">
                  <c:v>1</c:v>
                </c:pt>
              </c:numCache>
            </c:numRef>
          </c:val>
          <c:smooth val="0"/>
          <c:extLst>
            <c:ext xmlns:c16="http://schemas.microsoft.com/office/drawing/2014/chart" uri="{C3380CC4-5D6E-409C-BE32-E72D297353CC}">
              <c16:uniqueId val="{00000001-491A-C147-BD55-620311AF99A6}"/>
            </c:ext>
          </c:extLst>
        </c:ser>
        <c:dLbls>
          <c:showLegendKey val="0"/>
          <c:showVal val="0"/>
          <c:showCatName val="0"/>
          <c:showSerName val="0"/>
          <c:showPercent val="0"/>
          <c:showBubbleSize val="0"/>
        </c:dLbls>
        <c:marker val="1"/>
        <c:smooth val="0"/>
        <c:axId val="1900334432"/>
        <c:axId val="384200095"/>
      </c:lineChart>
      <c:catAx>
        <c:axId val="1900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200095"/>
        <c:crosses val="autoZero"/>
        <c:auto val="1"/>
        <c:lblAlgn val="ctr"/>
        <c:lblOffset val="100"/>
        <c:noMultiLvlLbl val="0"/>
      </c:catAx>
      <c:valAx>
        <c:axId val="38420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3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table'!$F$27:$F$28</c:f>
              <c:strCache>
                <c:ptCount val="1"/>
                <c:pt idx="0">
                  <c:v>No</c:v>
                </c:pt>
              </c:strCache>
            </c:strRef>
          </c:tx>
          <c:spPr>
            <a:solidFill>
              <a:schemeClr val="accent1"/>
            </a:solidFill>
            <a:ln>
              <a:noFill/>
            </a:ln>
            <a:effectLst/>
          </c:spPr>
          <c:invertIfNegative val="0"/>
          <c:cat>
            <c:strRef>
              <c:f>'Pivot table'!$E$29:$E$31</c:f>
              <c:strCache>
                <c:ptCount val="2"/>
                <c:pt idx="0">
                  <c:v>Female</c:v>
                </c:pt>
                <c:pt idx="1">
                  <c:v>Male</c:v>
                </c:pt>
              </c:strCache>
            </c:strRef>
          </c:cat>
          <c:val>
            <c:numRef>
              <c:f>'Pivot table'!$F$29:$F$31</c:f>
              <c:numCache>
                <c:formatCode>0</c:formatCode>
                <c:ptCount val="2"/>
                <c:pt idx="0">
                  <c:v>58571.428571428572</c:v>
                </c:pt>
                <c:pt idx="1">
                  <c:v>61190.476190476191</c:v>
                </c:pt>
              </c:numCache>
            </c:numRef>
          </c:val>
          <c:extLst>
            <c:ext xmlns:c16="http://schemas.microsoft.com/office/drawing/2014/chart" uri="{C3380CC4-5D6E-409C-BE32-E72D297353CC}">
              <c16:uniqueId val="{00000000-6EF9-5A40-8BDB-29B30712F273}"/>
            </c:ext>
          </c:extLst>
        </c:ser>
        <c:ser>
          <c:idx val="1"/>
          <c:order val="1"/>
          <c:tx>
            <c:strRef>
              <c:f>'Pivot table'!$G$27:$G$28</c:f>
              <c:strCache>
                <c:ptCount val="1"/>
                <c:pt idx="0">
                  <c:v>Yes</c:v>
                </c:pt>
              </c:strCache>
            </c:strRef>
          </c:tx>
          <c:spPr>
            <a:solidFill>
              <a:schemeClr val="accent2"/>
            </a:solidFill>
            <a:ln>
              <a:noFill/>
            </a:ln>
            <a:effectLst/>
          </c:spPr>
          <c:invertIfNegative val="0"/>
          <c:cat>
            <c:strRef>
              <c:f>'Pivot table'!$E$29:$E$31</c:f>
              <c:strCache>
                <c:ptCount val="2"/>
                <c:pt idx="0">
                  <c:v>Female</c:v>
                </c:pt>
                <c:pt idx="1">
                  <c:v>Male</c:v>
                </c:pt>
              </c:strCache>
            </c:strRef>
          </c:cat>
          <c:val>
            <c:numRef>
              <c:f>'Pivot table'!$G$29:$G$31</c:f>
              <c:numCache>
                <c:formatCode>0</c:formatCode>
                <c:ptCount val="2"/>
                <c:pt idx="0">
                  <c:v>64406.779661016946</c:v>
                </c:pt>
                <c:pt idx="1">
                  <c:v>68333.333333333328</c:v>
                </c:pt>
              </c:numCache>
            </c:numRef>
          </c:val>
          <c:extLst>
            <c:ext xmlns:c16="http://schemas.microsoft.com/office/drawing/2014/chart" uri="{C3380CC4-5D6E-409C-BE32-E72D297353CC}">
              <c16:uniqueId val="{00000001-6EF9-5A40-8BDB-29B30712F273}"/>
            </c:ext>
          </c:extLst>
        </c:ser>
        <c:dLbls>
          <c:showLegendKey val="0"/>
          <c:showVal val="0"/>
          <c:showCatName val="0"/>
          <c:showSerName val="0"/>
          <c:showPercent val="0"/>
          <c:showBubbleSize val="0"/>
        </c:dLbls>
        <c:gapWidth val="219"/>
        <c:overlap val="-27"/>
        <c:axId val="289090320"/>
        <c:axId val="1502888784"/>
      </c:barChart>
      <c:catAx>
        <c:axId val="28909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88784"/>
        <c:crosses val="autoZero"/>
        <c:auto val="1"/>
        <c:lblAlgn val="ctr"/>
        <c:lblOffset val="100"/>
        <c:noMultiLvlLbl val="0"/>
      </c:catAx>
      <c:valAx>
        <c:axId val="1502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90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86964129483818E-2"/>
          <c:y val="0.28677272727272729"/>
          <c:w val="0.80130183727034121"/>
          <c:h val="0.57964387974230491"/>
        </c:manualLayout>
      </c:layout>
      <c:lineChart>
        <c:grouping val="standard"/>
        <c:varyColors val="0"/>
        <c:ser>
          <c:idx val="0"/>
          <c:order val="0"/>
          <c:tx>
            <c:strRef>
              <c:f>'Pivot table'!$F$47:$F$48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table'!$E$49:$E$54</c:f>
              <c:strCache>
                <c:ptCount val="5"/>
                <c:pt idx="0">
                  <c:v>0-1 Miles</c:v>
                </c:pt>
                <c:pt idx="1">
                  <c:v>1-2 Miles</c:v>
                </c:pt>
                <c:pt idx="2">
                  <c:v>2-5 Miles</c:v>
                </c:pt>
                <c:pt idx="3">
                  <c:v>5-10 Miles</c:v>
                </c:pt>
                <c:pt idx="4">
                  <c:v>More than 10+ Miles</c:v>
                </c:pt>
              </c:strCache>
            </c:strRef>
          </c:cat>
          <c:val>
            <c:numRef>
              <c:f>'Pivot table'!$F$49:$F$54</c:f>
              <c:numCache>
                <c:formatCode>General</c:formatCode>
                <c:ptCount val="5"/>
                <c:pt idx="0">
                  <c:v>161</c:v>
                </c:pt>
                <c:pt idx="1">
                  <c:v>87</c:v>
                </c:pt>
                <c:pt idx="2">
                  <c:v>66</c:v>
                </c:pt>
                <c:pt idx="3">
                  <c:v>108</c:v>
                </c:pt>
                <c:pt idx="4">
                  <c:v>72</c:v>
                </c:pt>
              </c:numCache>
            </c:numRef>
          </c:val>
          <c:smooth val="0"/>
          <c:extLst>
            <c:ext xmlns:c16="http://schemas.microsoft.com/office/drawing/2014/chart" uri="{C3380CC4-5D6E-409C-BE32-E72D297353CC}">
              <c16:uniqueId val="{00000000-4296-8E4D-AE48-54A9A4232303}"/>
            </c:ext>
          </c:extLst>
        </c:ser>
        <c:ser>
          <c:idx val="1"/>
          <c:order val="1"/>
          <c:tx>
            <c:strRef>
              <c:f>'Pivot table'!$G$47:$G$48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table'!$E$49:$E$54</c:f>
              <c:strCache>
                <c:ptCount val="5"/>
                <c:pt idx="0">
                  <c:v>0-1 Miles</c:v>
                </c:pt>
                <c:pt idx="1">
                  <c:v>1-2 Miles</c:v>
                </c:pt>
                <c:pt idx="2">
                  <c:v>2-5 Miles</c:v>
                </c:pt>
                <c:pt idx="3">
                  <c:v>5-10 Miles</c:v>
                </c:pt>
                <c:pt idx="4">
                  <c:v>More than 10+ Miles</c:v>
                </c:pt>
              </c:strCache>
            </c:strRef>
          </c:cat>
          <c:val>
            <c:numRef>
              <c:f>'Pivot table'!$G$49:$G$54</c:f>
              <c:numCache>
                <c:formatCode>General</c:formatCode>
                <c:ptCount val="5"/>
                <c:pt idx="0">
                  <c:v>196</c:v>
                </c:pt>
                <c:pt idx="1">
                  <c:v>73</c:v>
                </c:pt>
                <c:pt idx="2">
                  <c:v>91</c:v>
                </c:pt>
                <c:pt idx="3">
                  <c:v>74</c:v>
                </c:pt>
                <c:pt idx="4">
                  <c:v>30</c:v>
                </c:pt>
              </c:numCache>
            </c:numRef>
          </c:val>
          <c:smooth val="0"/>
          <c:extLst>
            <c:ext xmlns:c16="http://schemas.microsoft.com/office/drawing/2014/chart" uri="{C3380CC4-5D6E-409C-BE32-E72D297353CC}">
              <c16:uniqueId val="{00000001-4296-8E4D-AE48-54A9A4232303}"/>
            </c:ext>
          </c:extLst>
        </c:ser>
        <c:dLbls>
          <c:showLegendKey val="0"/>
          <c:showVal val="0"/>
          <c:showCatName val="0"/>
          <c:showSerName val="0"/>
          <c:showPercent val="0"/>
          <c:showBubbleSize val="0"/>
        </c:dLbls>
        <c:marker val="1"/>
        <c:smooth val="0"/>
        <c:axId val="1593153312"/>
        <c:axId val="426039967"/>
      </c:lineChart>
      <c:catAx>
        <c:axId val="1593153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6039967"/>
        <c:crosses val="autoZero"/>
        <c:auto val="1"/>
        <c:lblAlgn val="ctr"/>
        <c:lblOffset val="100"/>
        <c:noMultiLvlLbl val="0"/>
      </c:catAx>
      <c:valAx>
        <c:axId val="4260399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315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table'!$F$76:$F$77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table'!$E$78:$E$81</c:f>
              <c:strCache>
                <c:ptCount val="3"/>
                <c:pt idx="0">
                  <c:v>Middle Age 31-54</c:v>
                </c:pt>
                <c:pt idx="1">
                  <c:v>Old 55+</c:v>
                </c:pt>
                <c:pt idx="2">
                  <c:v>Adolescent 0-30</c:v>
                </c:pt>
              </c:strCache>
            </c:strRef>
          </c:cat>
          <c:val>
            <c:numRef>
              <c:f>'Pivot table'!$F$78:$F$81</c:f>
              <c:numCache>
                <c:formatCode>General</c:formatCode>
                <c:ptCount val="3"/>
                <c:pt idx="0">
                  <c:v>56</c:v>
                </c:pt>
                <c:pt idx="1">
                  <c:v>16</c:v>
                </c:pt>
                <c:pt idx="2">
                  <c:v>26</c:v>
                </c:pt>
              </c:numCache>
            </c:numRef>
          </c:val>
          <c:smooth val="0"/>
          <c:extLst>
            <c:ext xmlns:c16="http://schemas.microsoft.com/office/drawing/2014/chart" uri="{C3380CC4-5D6E-409C-BE32-E72D297353CC}">
              <c16:uniqueId val="{00000000-995B-3E47-8A46-E8DF2E84532B}"/>
            </c:ext>
          </c:extLst>
        </c:ser>
        <c:ser>
          <c:idx val="1"/>
          <c:order val="1"/>
          <c:tx>
            <c:strRef>
              <c:f>'Pivot table'!$G$76:$G$77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table'!$E$78:$E$81</c:f>
              <c:strCache>
                <c:ptCount val="3"/>
                <c:pt idx="0">
                  <c:v>Middle Age 31-54</c:v>
                </c:pt>
                <c:pt idx="1">
                  <c:v>Old 55+</c:v>
                </c:pt>
                <c:pt idx="2">
                  <c:v>Adolescent 0-30</c:v>
                </c:pt>
              </c:strCache>
            </c:strRef>
          </c:cat>
          <c:val>
            <c:numRef>
              <c:f>'Pivot table'!$G$78:$G$81</c:f>
              <c:numCache>
                <c:formatCode>General</c:formatCode>
                <c:ptCount val="3"/>
                <c:pt idx="0">
                  <c:v>89</c:v>
                </c:pt>
                <c:pt idx="1">
                  <c:v>17</c:v>
                </c:pt>
                <c:pt idx="2">
                  <c:v>7</c:v>
                </c:pt>
              </c:numCache>
            </c:numRef>
          </c:val>
          <c:smooth val="0"/>
          <c:extLst>
            <c:ext xmlns:c16="http://schemas.microsoft.com/office/drawing/2014/chart" uri="{C3380CC4-5D6E-409C-BE32-E72D297353CC}">
              <c16:uniqueId val="{00000001-995B-3E47-8A46-E8DF2E84532B}"/>
            </c:ext>
          </c:extLst>
        </c:ser>
        <c:dLbls>
          <c:showLegendKey val="0"/>
          <c:showVal val="0"/>
          <c:showCatName val="0"/>
          <c:showSerName val="0"/>
          <c:showPercent val="0"/>
          <c:showBubbleSize val="0"/>
        </c:dLbls>
        <c:marker val="1"/>
        <c:smooth val="0"/>
        <c:axId val="416479567"/>
        <c:axId val="416471279"/>
      </c:lineChart>
      <c:catAx>
        <c:axId val="41647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1279"/>
        <c:crosses val="autoZero"/>
        <c:auto val="1"/>
        <c:lblAlgn val="ctr"/>
        <c:lblOffset val="100"/>
        <c:noMultiLvlLbl val="0"/>
      </c:catAx>
      <c:valAx>
        <c:axId val="41647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520700</xdr:colOff>
      <xdr:row>21</xdr:row>
      <xdr:rowOff>76200</xdr:rowOff>
    </xdr:from>
    <xdr:to>
      <xdr:col>15</xdr:col>
      <xdr:colOff>190500</xdr:colOff>
      <xdr:row>37</xdr:row>
      <xdr:rowOff>177800</xdr:rowOff>
    </xdr:to>
    <xdr:graphicFrame macro="">
      <xdr:nvGraphicFramePr>
        <xdr:cNvPr id="2" name="Chart 1">
          <a:extLst>
            <a:ext uri="{FF2B5EF4-FFF2-40B4-BE49-F238E27FC236}">
              <a16:creationId xmlns:a16="http://schemas.microsoft.com/office/drawing/2014/main" id="{20D3FE52-B634-3248-26D5-DC54506BA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431800</xdr:colOff>
      <xdr:row>44</xdr:row>
      <xdr:rowOff>114300</xdr:rowOff>
    </xdr:from>
    <xdr:to>
      <xdr:col>15</xdr:col>
      <xdr:colOff>241300</xdr:colOff>
      <xdr:row>60</xdr:row>
      <xdr:rowOff>25400</xdr:rowOff>
    </xdr:to>
    <xdr:graphicFrame macro="">
      <xdr:nvGraphicFramePr>
        <xdr:cNvPr id="3" name="Chart 2">
          <a:extLst>
            <a:ext uri="{FF2B5EF4-FFF2-40B4-BE49-F238E27FC236}">
              <a16:creationId xmlns:a16="http://schemas.microsoft.com/office/drawing/2014/main" id="{5B7CADB5-8178-C286-8F55-E201487DD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431800</xdr:colOff>
      <xdr:row>73</xdr:row>
      <xdr:rowOff>88900</xdr:rowOff>
    </xdr:from>
    <xdr:to>
      <xdr:col>14</xdr:col>
      <xdr:colOff>660400</xdr:colOff>
      <xdr:row>88</xdr:row>
      <xdr:rowOff>0</xdr:rowOff>
    </xdr:to>
    <xdr:graphicFrame macro="">
      <xdr:nvGraphicFramePr>
        <xdr:cNvPr id="4" name="Chart 3">
          <a:extLst>
            <a:ext uri="{FF2B5EF4-FFF2-40B4-BE49-F238E27FC236}">
              <a16:creationId xmlns:a16="http://schemas.microsoft.com/office/drawing/2014/main" id="{42AC8904-D730-C259-DDEC-2AF5A6080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96</xdr:row>
      <xdr:rowOff>95250</xdr:rowOff>
    </xdr:from>
    <xdr:to>
      <xdr:col>14</xdr:col>
      <xdr:colOff>609600</xdr:colOff>
      <xdr:row>110</xdr:row>
      <xdr:rowOff>171450</xdr:rowOff>
    </xdr:to>
    <xdr:graphicFrame macro="">
      <xdr:nvGraphicFramePr>
        <xdr:cNvPr id="5" name="Chart 4">
          <a:extLst>
            <a:ext uri="{FF2B5EF4-FFF2-40B4-BE49-F238E27FC236}">
              <a16:creationId xmlns:a16="http://schemas.microsoft.com/office/drawing/2014/main" id="{80A7EDE2-7CBE-B852-66BD-32FDC3586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9</xdr:row>
      <xdr:rowOff>25400</xdr:rowOff>
    </xdr:from>
    <xdr:to>
      <xdr:col>6</xdr:col>
      <xdr:colOff>228600</xdr:colOff>
      <xdr:row>24</xdr:row>
      <xdr:rowOff>0</xdr:rowOff>
    </xdr:to>
    <xdr:graphicFrame macro="">
      <xdr:nvGraphicFramePr>
        <xdr:cNvPr id="2" name="Chart 1">
          <a:extLst>
            <a:ext uri="{FF2B5EF4-FFF2-40B4-BE49-F238E27FC236}">
              <a16:creationId xmlns:a16="http://schemas.microsoft.com/office/drawing/2014/main" id="{D97FC65D-3E11-B94E-BB07-FE818C461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xdr:colOff>
      <xdr:row>25</xdr:row>
      <xdr:rowOff>25400</xdr:rowOff>
    </xdr:from>
    <xdr:to>
      <xdr:col>9</xdr:col>
      <xdr:colOff>12700</xdr:colOff>
      <xdr:row>40</xdr:row>
      <xdr:rowOff>63500</xdr:rowOff>
    </xdr:to>
    <xdr:graphicFrame macro="">
      <xdr:nvGraphicFramePr>
        <xdr:cNvPr id="3" name="Chart 2">
          <a:extLst>
            <a:ext uri="{FF2B5EF4-FFF2-40B4-BE49-F238E27FC236}">
              <a16:creationId xmlns:a16="http://schemas.microsoft.com/office/drawing/2014/main" id="{20F2237F-A7E9-284A-BE77-ED683A350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304800</xdr:colOff>
      <xdr:row>9</xdr:row>
      <xdr:rowOff>38100</xdr:rowOff>
    </xdr:from>
    <xdr:to>
      <xdr:col>9</xdr:col>
      <xdr:colOff>50800</xdr:colOff>
      <xdr:row>24</xdr:row>
      <xdr:rowOff>0</xdr:rowOff>
    </xdr:to>
    <xdr:graphicFrame macro="">
      <xdr:nvGraphicFramePr>
        <xdr:cNvPr id="4" name="Chart 3">
          <a:extLst>
            <a:ext uri="{FF2B5EF4-FFF2-40B4-BE49-F238E27FC236}">
              <a16:creationId xmlns:a16="http://schemas.microsoft.com/office/drawing/2014/main" id="{7A401CB0-66B0-EC4E-B87D-E0F91D1E7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88900</xdr:colOff>
      <xdr:row>9</xdr:row>
      <xdr:rowOff>38101</xdr:rowOff>
    </xdr:from>
    <xdr:to>
      <xdr:col>1</xdr:col>
      <xdr:colOff>863600</xdr:colOff>
      <xdr:row>14</xdr:row>
      <xdr:rowOff>25401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49CD66B-5B48-E17F-35E8-64C0E880E3B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900" y="1752601"/>
              <a:ext cx="18415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21</xdr:row>
      <xdr:rowOff>25401</xdr:rowOff>
    </xdr:from>
    <xdr:to>
      <xdr:col>1</xdr:col>
      <xdr:colOff>901700</xdr:colOff>
      <xdr:row>29</xdr:row>
      <xdr:rowOff>139700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7E83E16-785B-DE61-9CD6-26DA3B8BAC8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900" y="4025901"/>
              <a:ext cx="187960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14</xdr:row>
      <xdr:rowOff>101601</xdr:rowOff>
    </xdr:from>
    <xdr:to>
      <xdr:col>1</xdr:col>
      <xdr:colOff>863600</xdr:colOff>
      <xdr:row>20</xdr:row>
      <xdr:rowOff>139701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959F698-3CD0-4E13-E275-13AD3DBC23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900" y="2768601"/>
              <a:ext cx="18415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KER JESUTAYO" refreshedDate="46276.422003009262" createdVersion="8" refreshedVersion="8" minRefreshableVersion="3" recordCount="1000" xr:uid="{E4D18ADC-F918-CD46-A649-8B8276114D6B}">
  <cacheSource type="worksheet">
    <worksheetSource ref="A1:N1001" sheet="Working Sheet"/>
  </cacheSource>
  <cacheFields count="14">
    <cacheField name=" 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4850440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KER JESUTAYO" refreshedDate="46276.422003819447" createdVersion="8" refreshedVersion="8" minRefreshableVersion="3" recordCount="958" xr:uid="{88DC789C-4241-754C-A898-12AE45B8702C}">
  <cacheSource type="worksheet">
    <worksheetSource ref="A1:N959" sheet="Working Sheet"/>
  </cacheSource>
  <cacheFields count="14">
    <cacheField name=" 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581292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1"/>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1"/>
    <x v="0"/>
  </r>
  <r>
    <n v="19280"/>
    <x v="0"/>
    <x v="1"/>
    <n v="120000"/>
    <n v="2"/>
    <x v="1"/>
    <s v="Manual"/>
    <s v="Yes"/>
    <n v="1"/>
    <s v="0-1 Miles"/>
    <x v="0"/>
    <x v="8"/>
    <x v="0"/>
    <x v="1"/>
  </r>
  <r>
    <n v="22173"/>
    <x v="0"/>
    <x v="0"/>
    <n v="30000"/>
    <n v="3"/>
    <x v="2"/>
    <s v="Skilled Manual"/>
    <s v="No"/>
    <n v="2"/>
    <s v="1-2 Miles"/>
    <x v="1"/>
    <x v="9"/>
    <x v="0"/>
    <x v="1"/>
  </r>
  <r>
    <n v="12697"/>
    <x v="1"/>
    <x v="0"/>
    <n v="90000"/>
    <n v="0"/>
    <x v="0"/>
    <s v="Professional"/>
    <s v="No"/>
    <n v="4"/>
    <s v="More than 10+ Miles"/>
    <x v="1"/>
    <x v="4"/>
    <x v="0"/>
    <x v="0"/>
  </r>
  <r>
    <n v="11434"/>
    <x v="0"/>
    <x v="1"/>
    <n v="170000"/>
    <n v="5"/>
    <x v="1"/>
    <s v="Professional"/>
    <s v="Yes"/>
    <n v="0"/>
    <s v="0-1 Miles"/>
    <x v="0"/>
    <x v="10"/>
    <x v="1"/>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1"/>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1"/>
    <x v="1"/>
  </r>
  <r>
    <n v="25598"/>
    <x v="0"/>
    <x v="0"/>
    <n v="40000"/>
    <n v="0"/>
    <x v="4"/>
    <s v="Clerical"/>
    <s v="Yes"/>
    <n v="0"/>
    <s v="0-1 Miles"/>
    <x v="0"/>
    <x v="4"/>
    <x v="0"/>
    <x v="1"/>
  </r>
  <r>
    <n v="21564"/>
    <x v="1"/>
    <x v="0"/>
    <n v="80000"/>
    <n v="0"/>
    <x v="0"/>
    <s v="Professional"/>
    <s v="Yes"/>
    <n v="4"/>
    <s v="More than 10+ Miles"/>
    <x v="1"/>
    <x v="11"/>
    <x v="0"/>
    <x v="0"/>
  </r>
  <r>
    <n v="19193"/>
    <x v="1"/>
    <x v="1"/>
    <n v="40000"/>
    <n v="2"/>
    <x v="1"/>
    <s v="Clerical"/>
    <s v="Yes"/>
    <n v="0"/>
    <s v="1-2 Miles"/>
    <x v="0"/>
    <x v="11"/>
    <x v="0"/>
    <x v="1"/>
  </r>
  <r>
    <n v="26412"/>
    <x v="0"/>
    <x v="0"/>
    <n v="80000"/>
    <n v="5"/>
    <x v="2"/>
    <s v="Management"/>
    <s v="No"/>
    <n v="3"/>
    <s v="5-10 Miles"/>
    <x v="0"/>
    <x v="16"/>
    <x v="1"/>
    <x v="0"/>
  </r>
  <r>
    <n v="27184"/>
    <x v="1"/>
    <x v="1"/>
    <n v="40000"/>
    <n v="2"/>
    <x v="1"/>
    <s v="Clerical"/>
    <s v="No"/>
    <n v="1"/>
    <s v="0-1 Miles"/>
    <x v="0"/>
    <x v="17"/>
    <x v="0"/>
    <x v="0"/>
  </r>
  <r>
    <n v="12590"/>
    <x v="1"/>
    <x v="1"/>
    <n v="30000"/>
    <n v="1"/>
    <x v="0"/>
    <s v="Clerical"/>
    <s v="Yes"/>
    <n v="0"/>
    <s v="0-1 Miles"/>
    <x v="0"/>
    <x v="18"/>
    <x v="1"/>
    <x v="0"/>
  </r>
  <r>
    <n v="17841"/>
    <x v="1"/>
    <x v="1"/>
    <n v="30000"/>
    <n v="0"/>
    <x v="1"/>
    <s v="Clerical"/>
    <s v="No"/>
    <n v="1"/>
    <s v="0-1 Miles"/>
    <x v="0"/>
    <x v="19"/>
    <x v="2"/>
    <x v="1"/>
  </r>
  <r>
    <n v="18283"/>
    <x v="1"/>
    <x v="0"/>
    <n v="100000"/>
    <n v="0"/>
    <x v="0"/>
    <s v="Professional"/>
    <s v="No"/>
    <n v="1"/>
    <s v="5-10 Miles"/>
    <x v="1"/>
    <x v="8"/>
    <x v="0"/>
    <x v="0"/>
  </r>
  <r>
    <n v="18299"/>
    <x v="0"/>
    <x v="1"/>
    <n v="70000"/>
    <n v="5"/>
    <x v="1"/>
    <s v="Skilled Manual"/>
    <s v="Yes"/>
    <n v="2"/>
    <s v="5-10 Miles"/>
    <x v="1"/>
    <x v="20"/>
    <x v="0"/>
    <x v="0"/>
  </r>
  <r>
    <n v="16466"/>
    <x v="1"/>
    <x v="0"/>
    <n v="20000"/>
    <n v="0"/>
    <x v="3"/>
    <s v="Manual"/>
    <s v="No"/>
    <n v="2"/>
    <s v="0-1 Miles"/>
    <x v="0"/>
    <x v="21"/>
    <x v="0"/>
    <x v="1"/>
  </r>
  <r>
    <n v="19273"/>
    <x v="0"/>
    <x v="0"/>
    <n v="20000"/>
    <n v="2"/>
    <x v="1"/>
    <s v="Manual"/>
    <s v="Yes"/>
    <n v="0"/>
    <s v="0-1 Miles"/>
    <x v="0"/>
    <x v="18"/>
    <x v="1"/>
    <x v="0"/>
  </r>
  <r>
    <n v="22400"/>
    <x v="0"/>
    <x v="1"/>
    <n v="10000"/>
    <n v="0"/>
    <x v="1"/>
    <s v="Manual"/>
    <s v="No"/>
    <n v="1"/>
    <s v="0-1 Miles"/>
    <x v="1"/>
    <x v="22"/>
    <x v="2"/>
    <x v="1"/>
  </r>
  <r>
    <n v="20942"/>
    <x v="1"/>
    <x v="0"/>
    <n v="20000"/>
    <n v="0"/>
    <x v="2"/>
    <s v="Manual"/>
    <s v="No"/>
    <n v="1"/>
    <s v="5-10 Miles"/>
    <x v="0"/>
    <x v="23"/>
    <x v="0"/>
    <x v="0"/>
  </r>
  <r>
    <n v="18484"/>
    <x v="1"/>
    <x v="1"/>
    <n v="80000"/>
    <n v="2"/>
    <x v="2"/>
    <s v="Skilled Manual"/>
    <s v="No"/>
    <n v="2"/>
    <s v="1-2 Miles"/>
    <x v="1"/>
    <x v="5"/>
    <x v="0"/>
    <x v="1"/>
  </r>
  <r>
    <n v="12291"/>
    <x v="1"/>
    <x v="1"/>
    <n v="90000"/>
    <n v="5"/>
    <x v="1"/>
    <s v="Professional"/>
    <s v="No"/>
    <n v="2"/>
    <s v="2-5 Miles"/>
    <x v="0"/>
    <x v="24"/>
    <x v="1"/>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5"/>
    <x v="2"/>
    <x v="0"/>
  </r>
  <r>
    <n v="26863"/>
    <x v="1"/>
    <x v="1"/>
    <n v="20000"/>
    <n v="0"/>
    <x v="2"/>
    <s v="Manual"/>
    <s v="No"/>
    <n v="1"/>
    <s v="2-5 Miles"/>
    <x v="0"/>
    <x v="26"/>
    <x v="2"/>
    <x v="0"/>
  </r>
  <r>
    <n v="16259"/>
    <x v="1"/>
    <x v="0"/>
    <n v="10000"/>
    <n v="4"/>
    <x v="3"/>
    <s v="Manual"/>
    <s v="Yes"/>
    <n v="2"/>
    <s v="0-1 Miles"/>
    <x v="0"/>
    <x v="8"/>
    <x v="0"/>
    <x v="1"/>
  </r>
  <r>
    <n v="27803"/>
    <x v="1"/>
    <x v="0"/>
    <n v="30000"/>
    <n v="2"/>
    <x v="1"/>
    <s v="Clerical"/>
    <s v="No"/>
    <n v="0"/>
    <s v="0-1 Miles"/>
    <x v="0"/>
    <x v="1"/>
    <x v="0"/>
    <x v="0"/>
  </r>
  <r>
    <n v="14347"/>
    <x v="1"/>
    <x v="0"/>
    <n v="40000"/>
    <n v="2"/>
    <x v="0"/>
    <s v="Management"/>
    <s v="Yes"/>
    <n v="2"/>
    <s v="5-10 Miles"/>
    <x v="1"/>
    <x v="27"/>
    <x v="1"/>
    <x v="1"/>
  </r>
  <r>
    <n v="17703"/>
    <x v="0"/>
    <x v="0"/>
    <n v="10000"/>
    <n v="1"/>
    <x v="4"/>
    <s v="Manual"/>
    <s v="Yes"/>
    <n v="0"/>
    <s v="0-1 Miles"/>
    <x v="0"/>
    <x v="8"/>
    <x v="0"/>
    <x v="0"/>
  </r>
  <r>
    <n v="17185"/>
    <x v="0"/>
    <x v="0"/>
    <n v="170000"/>
    <n v="4"/>
    <x v="1"/>
    <s v="Professional"/>
    <s v="No"/>
    <n v="3"/>
    <s v="5-10 Miles"/>
    <x v="0"/>
    <x v="2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1"/>
    <x v="1"/>
    <n v="40000"/>
    <n v="0"/>
    <x v="0"/>
    <s v="Clerical"/>
    <s v="Yes"/>
    <n v="0"/>
    <s v="0-1 Miles"/>
    <x v="0"/>
    <x v="32"/>
    <x v="0"/>
    <x v="1"/>
  </r>
  <r>
    <n v="13826"/>
    <x v="1"/>
    <x v="0"/>
    <n v="30000"/>
    <n v="0"/>
    <x v="1"/>
    <s v="Clerical"/>
    <s v="No"/>
    <n v="1"/>
    <s v="0-1 Miles"/>
    <x v="0"/>
    <x v="26"/>
    <x v="2"/>
    <x v="0"/>
  </r>
  <r>
    <n v="20619"/>
    <x v="1"/>
    <x v="1"/>
    <n v="80000"/>
    <n v="0"/>
    <x v="0"/>
    <s v="Professional"/>
    <s v="No"/>
    <n v="4"/>
    <s v="More than 10+ Miles"/>
    <x v="1"/>
    <x v="11"/>
    <x v="0"/>
    <x v="0"/>
  </r>
  <r>
    <n v="12558"/>
    <x v="0"/>
    <x v="0"/>
    <n v="20000"/>
    <n v="1"/>
    <x v="0"/>
    <s v="Clerical"/>
    <s v="Yes"/>
    <n v="0"/>
    <s v="0-1 Miles"/>
    <x v="0"/>
    <x v="27"/>
    <x v="1"/>
    <x v="0"/>
  </r>
  <r>
    <n v="24871"/>
    <x v="1"/>
    <x v="0"/>
    <n v="90000"/>
    <n v="4"/>
    <x v="2"/>
    <s v="Management"/>
    <s v="No"/>
    <n v="3"/>
    <s v="5-10 Miles"/>
    <x v="0"/>
    <x v="16"/>
    <x v="1"/>
    <x v="0"/>
  </r>
  <r>
    <n v="17319"/>
    <x v="1"/>
    <x v="0"/>
    <n v="70000"/>
    <n v="0"/>
    <x v="0"/>
    <s v="Professional"/>
    <s v="No"/>
    <n v="1"/>
    <s v="5-10 Miles"/>
    <x v="1"/>
    <x v="0"/>
    <x v="0"/>
    <x v="0"/>
  </r>
  <r>
    <n v="28906"/>
    <x v="0"/>
    <x v="1"/>
    <n v="80000"/>
    <n v="4"/>
    <x v="2"/>
    <s v="Professional"/>
    <s v="Yes"/>
    <n v="2"/>
    <s v="More than 10+ Miles"/>
    <x v="0"/>
    <x v="9"/>
    <x v="0"/>
    <x v="0"/>
  </r>
  <r>
    <n v="12808"/>
    <x v="0"/>
    <x v="1"/>
    <n v="40000"/>
    <n v="0"/>
    <x v="0"/>
    <s v="Clerical"/>
    <s v="Yes"/>
    <n v="0"/>
    <s v="0-1 Miles"/>
    <x v="0"/>
    <x v="13"/>
    <x v="0"/>
    <x v="1"/>
  </r>
  <r>
    <n v="20567"/>
    <x v="0"/>
    <x v="1"/>
    <n v="130000"/>
    <n v="4"/>
    <x v="1"/>
    <s v="Professional"/>
    <s v="No"/>
    <n v="4"/>
    <s v="5-10 Miles"/>
    <x v="0"/>
    <x v="33"/>
    <x v="1"/>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More than 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5"/>
    <x v="2"/>
    <x v="0"/>
  </r>
  <r>
    <n v="14238"/>
    <x v="0"/>
    <x v="1"/>
    <n v="120000"/>
    <n v="0"/>
    <x v="3"/>
    <s v="Professional"/>
    <s v="Yes"/>
    <n v="4"/>
    <s v="More than 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4"/>
    <x v="1"/>
    <x v="0"/>
  </r>
  <r>
    <n v="12678"/>
    <x v="1"/>
    <x v="0"/>
    <n v="130000"/>
    <n v="4"/>
    <x v="2"/>
    <s v="Management"/>
    <s v="Yes"/>
    <n v="4"/>
    <s v="0-1 Miles"/>
    <x v="1"/>
    <x v="23"/>
    <x v="0"/>
    <x v="0"/>
  </r>
  <r>
    <n v="16188"/>
    <x v="1"/>
    <x v="0"/>
    <n v="20000"/>
    <n v="0"/>
    <x v="3"/>
    <s v="Manual"/>
    <s v="No"/>
    <n v="2"/>
    <s v="1-2 Miles"/>
    <x v="0"/>
    <x v="22"/>
    <x v="2"/>
    <x v="0"/>
  </r>
  <r>
    <n v="27969"/>
    <x v="0"/>
    <x v="1"/>
    <n v="80000"/>
    <n v="0"/>
    <x v="0"/>
    <s v="Professional"/>
    <s v="Yes"/>
    <n v="2"/>
    <s v="More than 10+ Miles"/>
    <x v="1"/>
    <x v="19"/>
    <x v="2"/>
    <x v="1"/>
  </r>
  <r>
    <n v="15752"/>
    <x v="0"/>
    <x v="1"/>
    <n v="80000"/>
    <n v="2"/>
    <x v="2"/>
    <s v="Skilled Manual"/>
    <s v="No"/>
    <n v="2"/>
    <s v="1-2 Miles"/>
    <x v="1"/>
    <x v="5"/>
    <x v="0"/>
    <x v="1"/>
  </r>
  <r>
    <n v="27745"/>
    <x v="1"/>
    <x v="1"/>
    <n v="40000"/>
    <n v="2"/>
    <x v="0"/>
    <s v="Management"/>
    <s v="Yes"/>
    <n v="2"/>
    <s v="5-10 Miles"/>
    <x v="1"/>
    <x v="18"/>
    <x v="1"/>
    <x v="1"/>
  </r>
  <r>
    <n v="20828"/>
    <x v="0"/>
    <x v="0"/>
    <n v="30000"/>
    <n v="4"/>
    <x v="4"/>
    <s v="Clerical"/>
    <s v="Yes"/>
    <n v="0"/>
    <s v="0-1 Miles"/>
    <x v="0"/>
    <x v="12"/>
    <x v="0"/>
    <x v="1"/>
  </r>
  <r>
    <n v="19461"/>
    <x v="1"/>
    <x v="0"/>
    <n v="10000"/>
    <n v="4"/>
    <x v="3"/>
    <s v="Manual"/>
    <s v="Yes"/>
    <n v="2"/>
    <s v="0-1 Miles"/>
    <x v="0"/>
    <x v="8"/>
    <x v="0"/>
    <x v="0"/>
  </r>
  <r>
    <n v="26941"/>
    <x v="0"/>
    <x v="1"/>
    <n v="30000"/>
    <n v="0"/>
    <x v="0"/>
    <s v="Clerical"/>
    <s v="Yes"/>
    <n v="0"/>
    <s v="0-1 Miles"/>
    <x v="0"/>
    <x v="15"/>
    <x v="0"/>
    <x v="1"/>
  </r>
  <r>
    <n v="28412"/>
    <x v="1"/>
    <x v="1"/>
    <n v="20000"/>
    <n v="0"/>
    <x v="2"/>
    <s v="Manual"/>
    <s v="No"/>
    <n v="1"/>
    <s v="2-5 Miles"/>
    <x v="0"/>
    <x v="19"/>
    <x v="2"/>
    <x v="0"/>
  </r>
  <r>
    <n v="24485"/>
    <x v="1"/>
    <x v="1"/>
    <n v="40000"/>
    <n v="2"/>
    <x v="0"/>
    <s v="Management"/>
    <s v="No"/>
    <n v="1"/>
    <s v="5-10 Miles"/>
    <x v="1"/>
    <x v="31"/>
    <x v="0"/>
    <x v="1"/>
  </r>
  <r>
    <n v="16514"/>
    <x v="1"/>
    <x v="1"/>
    <n v="10000"/>
    <n v="0"/>
    <x v="1"/>
    <s v="Manual"/>
    <s v="Yes"/>
    <n v="1"/>
    <s v="1-2 Miles"/>
    <x v="1"/>
    <x v="22"/>
    <x v="2"/>
    <x v="1"/>
  </r>
  <r>
    <n v="17191"/>
    <x v="1"/>
    <x v="1"/>
    <n v="130000"/>
    <n v="3"/>
    <x v="1"/>
    <s v="Professional"/>
    <s v="No"/>
    <n v="3"/>
    <s v="0-1 Miles"/>
    <x v="0"/>
    <x v="36"/>
    <x v="0"/>
    <x v="1"/>
  </r>
  <r>
    <n v="19608"/>
    <x v="0"/>
    <x v="1"/>
    <n v="80000"/>
    <n v="5"/>
    <x v="0"/>
    <s v="Professional"/>
    <s v="Yes"/>
    <n v="4"/>
    <s v="1-2 Miles"/>
    <x v="1"/>
    <x v="8"/>
    <x v="0"/>
    <x v="0"/>
  </r>
  <r>
    <n v="24119"/>
    <x v="1"/>
    <x v="1"/>
    <n v="30000"/>
    <n v="0"/>
    <x v="1"/>
    <s v="Clerical"/>
    <s v="No"/>
    <n v="1"/>
    <s v="2-5 Miles"/>
    <x v="0"/>
    <x v="19"/>
    <x v="2"/>
    <x v="0"/>
  </r>
  <r>
    <n v="25458"/>
    <x v="0"/>
    <x v="1"/>
    <n v="20000"/>
    <n v="1"/>
    <x v="2"/>
    <s v="Manual"/>
    <s v="No"/>
    <n v="1"/>
    <s v="1-2 Miles"/>
    <x v="0"/>
    <x v="8"/>
    <x v="0"/>
    <x v="1"/>
  </r>
  <r>
    <n v="26886"/>
    <x v="1"/>
    <x v="0"/>
    <n v="30000"/>
    <n v="0"/>
    <x v="1"/>
    <s v="Clerical"/>
    <s v="No"/>
    <n v="1"/>
    <s v="0-1 Miles"/>
    <x v="0"/>
    <x v="19"/>
    <x v="2"/>
    <x v="1"/>
  </r>
  <r>
    <n v="28436"/>
    <x v="1"/>
    <x v="1"/>
    <n v="30000"/>
    <n v="0"/>
    <x v="1"/>
    <s v="Clerical"/>
    <s v="No"/>
    <n v="1"/>
    <s v="0-1 Miles"/>
    <x v="0"/>
    <x v="25"/>
    <x v="2"/>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1"/>
    <x v="0"/>
  </r>
  <r>
    <n v="17197"/>
    <x v="1"/>
    <x v="0"/>
    <n v="90000"/>
    <n v="5"/>
    <x v="1"/>
    <s v="Professional"/>
    <s v="Yes"/>
    <n v="2"/>
    <s v="More than 10+ Miles"/>
    <x v="0"/>
    <x v="24"/>
    <x v="1"/>
    <x v="0"/>
  </r>
  <r>
    <n v="12507"/>
    <x v="0"/>
    <x v="1"/>
    <n v="30000"/>
    <n v="1"/>
    <x v="1"/>
    <s v="Clerical"/>
    <s v="Yes"/>
    <n v="1"/>
    <s v="0-1 Miles"/>
    <x v="0"/>
    <x v="1"/>
    <x v="0"/>
    <x v="0"/>
  </r>
  <r>
    <n v="23940"/>
    <x v="0"/>
    <x v="1"/>
    <n v="40000"/>
    <n v="1"/>
    <x v="0"/>
    <s v="Skilled Manual"/>
    <s v="Yes"/>
    <n v="1"/>
    <s v="0-1 Miles"/>
    <x v="0"/>
    <x v="20"/>
    <x v="0"/>
    <x v="1"/>
  </r>
  <r>
    <n v="19441"/>
    <x v="0"/>
    <x v="1"/>
    <n v="40000"/>
    <n v="0"/>
    <x v="4"/>
    <s v="Clerical"/>
    <s v="Yes"/>
    <n v="0"/>
    <s v="0-1 Miles"/>
    <x v="0"/>
    <x v="37"/>
    <x v="2"/>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8"/>
    <x v="0"/>
    <x v="0"/>
  </r>
  <r>
    <n v="26139"/>
    <x v="1"/>
    <x v="1"/>
    <n v="60000"/>
    <n v="1"/>
    <x v="1"/>
    <s v="Skilled Manual"/>
    <s v="Yes"/>
    <n v="1"/>
    <s v="5-10 Miles"/>
    <x v="1"/>
    <x v="12"/>
    <x v="0"/>
    <x v="0"/>
  </r>
  <r>
    <n v="18491"/>
    <x v="1"/>
    <x v="0"/>
    <n v="70000"/>
    <n v="2"/>
    <x v="2"/>
    <s v="Professional"/>
    <s v="Yes"/>
    <n v="2"/>
    <s v="5-10 Miles"/>
    <x v="1"/>
    <x v="38"/>
    <x v="0"/>
    <x v="1"/>
  </r>
  <r>
    <n v="22707"/>
    <x v="1"/>
    <x v="0"/>
    <n v="30000"/>
    <n v="0"/>
    <x v="1"/>
    <s v="Clerical"/>
    <s v="No"/>
    <n v="1"/>
    <s v="2-5 Miles"/>
    <x v="0"/>
    <x v="25"/>
    <x v="2"/>
    <x v="0"/>
  </r>
  <r>
    <n v="20430"/>
    <x v="0"/>
    <x v="1"/>
    <n v="70000"/>
    <n v="2"/>
    <x v="1"/>
    <s v="Skilled Manual"/>
    <s v="Yes"/>
    <n v="2"/>
    <s v="5-10 Miles"/>
    <x v="1"/>
    <x v="31"/>
    <x v="0"/>
    <x v="1"/>
  </r>
  <r>
    <n v="27494"/>
    <x v="1"/>
    <x v="0"/>
    <n v="40000"/>
    <n v="2"/>
    <x v="1"/>
    <s v="Skilled Manual"/>
    <s v="No"/>
    <n v="2"/>
    <s v="1-2 Miles"/>
    <x v="1"/>
    <x v="39"/>
    <x v="0"/>
    <x v="1"/>
  </r>
  <r>
    <n v="26829"/>
    <x v="0"/>
    <x v="0"/>
    <n v="40000"/>
    <n v="0"/>
    <x v="0"/>
    <s v="Clerical"/>
    <s v="Yes"/>
    <n v="0"/>
    <s v="0-1 Miles"/>
    <x v="0"/>
    <x v="13"/>
    <x v="0"/>
    <x v="1"/>
  </r>
  <r>
    <n v="28395"/>
    <x v="1"/>
    <x v="1"/>
    <n v="40000"/>
    <n v="0"/>
    <x v="0"/>
    <s v="Professional"/>
    <s v="No"/>
    <n v="0"/>
    <s v="0-1 Miles"/>
    <x v="0"/>
    <x v="32"/>
    <x v="0"/>
    <x v="1"/>
  </r>
  <r>
    <n v="21006"/>
    <x v="1"/>
    <x v="0"/>
    <n v="3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2"/>
    <x v="2"/>
    <x v="1"/>
  </r>
  <r>
    <n v="24140"/>
    <x v="1"/>
    <x v="1"/>
    <n v="10000"/>
    <n v="0"/>
    <x v="4"/>
    <s v="Manual"/>
    <s v="No"/>
    <n v="0"/>
    <s v="0-1 Miles"/>
    <x v="0"/>
    <x v="25"/>
    <x v="2"/>
    <x v="1"/>
  </r>
  <r>
    <n v="22496"/>
    <x v="0"/>
    <x v="0"/>
    <n v="30000"/>
    <n v="1"/>
    <x v="0"/>
    <s v="Skilled Manual"/>
    <s v="Yes"/>
    <n v="2"/>
    <s v="0-1 Miles"/>
    <x v="0"/>
    <x v="0"/>
    <x v="0"/>
    <x v="0"/>
  </r>
  <r>
    <n v="24065"/>
    <x v="1"/>
    <x v="0"/>
    <n v="20000"/>
    <n v="0"/>
    <x v="2"/>
    <s v="Manual"/>
    <s v="Yes"/>
    <n v="0"/>
    <s v="0-1 Miles"/>
    <x v="0"/>
    <x v="8"/>
    <x v="0"/>
    <x v="1"/>
  </r>
  <r>
    <n v="19914"/>
    <x v="0"/>
    <x v="1"/>
    <n v="80000"/>
    <n v="5"/>
    <x v="0"/>
    <s v="Management"/>
    <s v="Yes"/>
    <n v="2"/>
    <s v="2-5 Miles"/>
    <x v="0"/>
    <x v="24"/>
    <x v="1"/>
    <x v="0"/>
  </r>
  <r>
    <n v="12871"/>
    <x v="1"/>
    <x v="0"/>
    <n v="30000"/>
    <n v="0"/>
    <x v="1"/>
    <s v="Clerical"/>
    <s v="No"/>
    <n v="1"/>
    <s v="2-5 Miles"/>
    <x v="0"/>
    <x v="19"/>
    <x v="2"/>
    <x v="0"/>
  </r>
  <r>
    <n v="22988"/>
    <x v="0"/>
    <x v="0"/>
    <n v="40000"/>
    <n v="2"/>
    <x v="0"/>
    <s v="Management"/>
    <s v="Yes"/>
    <n v="2"/>
    <s v="5-10 Miles"/>
    <x v="1"/>
    <x v="29"/>
    <x v="1"/>
    <x v="1"/>
  </r>
  <r>
    <n v="15922"/>
    <x v="0"/>
    <x v="1"/>
    <n v="150000"/>
    <n v="2"/>
    <x v="2"/>
    <s v="Professional"/>
    <s v="Yes"/>
    <n v="4"/>
    <s v="0-1 Miles"/>
    <x v="0"/>
    <x v="28"/>
    <x v="0"/>
    <x v="0"/>
  </r>
  <r>
    <n v="12344"/>
    <x v="1"/>
    <x v="0"/>
    <n v="80000"/>
    <n v="0"/>
    <x v="0"/>
    <s v="Professional"/>
    <s v="No"/>
    <n v="3"/>
    <s v="More than 10+ Miles"/>
    <x v="1"/>
    <x v="23"/>
    <x v="0"/>
    <x v="0"/>
  </r>
  <r>
    <n v="23627"/>
    <x v="1"/>
    <x v="0"/>
    <n v="100000"/>
    <n v="3"/>
    <x v="1"/>
    <s v="Management"/>
    <s v="No"/>
    <n v="4"/>
    <s v="5-10 Miles"/>
    <x v="0"/>
    <x v="16"/>
    <x v="1"/>
    <x v="0"/>
  </r>
  <r>
    <n v="27775"/>
    <x v="1"/>
    <x v="0"/>
    <n v="40000"/>
    <n v="0"/>
    <x v="0"/>
    <s v="Clerical"/>
    <s v="No"/>
    <n v="0"/>
    <s v="0-1 Miles"/>
    <x v="0"/>
    <x v="13"/>
    <x v="0"/>
    <x v="1"/>
  </r>
  <r>
    <n v="29301"/>
    <x v="0"/>
    <x v="1"/>
    <n v="80000"/>
    <n v="5"/>
    <x v="0"/>
    <s v="Professional"/>
    <s v="Yes"/>
    <n v="4"/>
    <s v="1-2 Miles"/>
    <x v="1"/>
    <x v="8"/>
    <x v="0"/>
    <x v="0"/>
  </r>
  <r>
    <n v="12716"/>
    <x v="1"/>
    <x v="1"/>
    <n v="30000"/>
    <n v="0"/>
    <x v="1"/>
    <s v="Clerical"/>
    <s v="Yes"/>
    <n v="1"/>
    <s v="2-5 Miles"/>
    <x v="0"/>
    <x v="21"/>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1"/>
    <x v="1"/>
  </r>
  <r>
    <n v="19477"/>
    <x v="0"/>
    <x v="1"/>
    <n v="40000"/>
    <n v="0"/>
    <x v="0"/>
    <s v="Professional"/>
    <s v="Yes"/>
    <n v="0"/>
    <s v="0-1 Miles"/>
    <x v="0"/>
    <x v="8"/>
    <x v="0"/>
    <x v="1"/>
  </r>
  <r>
    <n v="26796"/>
    <x v="1"/>
    <x v="1"/>
    <n v="40000"/>
    <n v="2"/>
    <x v="0"/>
    <s v="Management"/>
    <s v="Yes"/>
    <n v="2"/>
    <s v="5-10 Miles"/>
    <x v="1"/>
    <x v="27"/>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1"/>
    <x v="1"/>
  </r>
  <r>
    <n v="26547"/>
    <x v="1"/>
    <x v="0"/>
    <n v="30000"/>
    <n v="2"/>
    <x v="1"/>
    <s v="Clerical"/>
    <s v="No"/>
    <n v="2"/>
    <s v="5-10 Miles"/>
    <x v="1"/>
    <x v="2"/>
    <x v="1"/>
    <x v="1"/>
  </r>
  <r>
    <n v="22500"/>
    <x v="1"/>
    <x v="1"/>
    <n v="40000"/>
    <n v="0"/>
    <x v="0"/>
    <s v="Professional"/>
    <s v="No"/>
    <n v="0"/>
    <s v="0-1 Miles"/>
    <x v="0"/>
    <x v="8"/>
    <x v="0"/>
    <x v="1"/>
  </r>
  <r>
    <n v="23993"/>
    <x v="1"/>
    <x v="0"/>
    <n v="10000"/>
    <n v="0"/>
    <x v="1"/>
    <s v="Manual"/>
    <s v="No"/>
    <n v="1"/>
    <s v="0-1 Miles"/>
    <x v="1"/>
    <x v="22"/>
    <x v="2"/>
    <x v="1"/>
  </r>
  <r>
    <n v="14832"/>
    <x v="0"/>
    <x v="1"/>
    <n v="40000"/>
    <n v="1"/>
    <x v="0"/>
    <s v="Skilled Manual"/>
    <s v="Yes"/>
    <n v="0"/>
    <s v="0-1 Miles"/>
    <x v="0"/>
    <x v="0"/>
    <x v="0"/>
    <x v="1"/>
  </r>
  <r>
    <n v="16614"/>
    <x v="0"/>
    <x v="0"/>
    <n v="80000"/>
    <n v="0"/>
    <x v="0"/>
    <s v="Professional"/>
    <s v="Yes"/>
    <n v="3"/>
    <s v="More than 10+ Miles"/>
    <x v="1"/>
    <x v="21"/>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8"/>
    <x v="0"/>
    <x v="1"/>
  </r>
  <r>
    <n v="19675"/>
    <x v="0"/>
    <x v="1"/>
    <n v="20000"/>
    <n v="4"/>
    <x v="2"/>
    <s v="Skilled Manual"/>
    <s v="Yes"/>
    <n v="2"/>
    <s v="5-10 Miles"/>
    <x v="1"/>
    <x v="2"/>
    <x v="1"/>
    <x v="0"/>
  </r>
  <r>
    <n v="12728"/>
    <x v="1"/>
    <x v="1"/>
    <n v="30000"/>
    <n v="0"/>
    <x v="1"/>
    <s v="Clerical"/>
    <s v="No"/>
    <n v="1"/>
    <s v="1-2 Miles"/>
    <x v="0"/>
    <x v="40"/>
    <x v="2"/>
    <x v="0"/>
  </r>
  <r>
    <n v="26154"/>
    <x v="0"/>
    <x v="1"/>
    <n v="60000"/>
    <n v="1"/>
    <x v="1"/>
    <s v="Skilled Manual"/>
    <s v="Yes"/>
    <n v="1"/>
    <s v="5-10 Miles"/>
    <x v="1"/>
    <x v="1"/>
    <x v="0"/>
    <x v="1"/>
  </r>
  <r>
    <n v="29117"/>
    <x v="1"/>
    <x v="1"/>
    <n v="100000"/>
    <n v="1"/>
    <x v="0"/>
    <s v="Management"/>
    <s v="No"/>
    <n v="3"/>
    <s v="0-1 Miles"/>
    <x v="1"/>
    <x v="28"/>
    <x v="0"/>
    <x v="0"/>
  </r>
  <r>
    <n v="17845"/>
    <x v="1"/>
    <x v="0"/>
    <n v="20000"/>
    <n v="0"/>
    <x v="3"/>
    <s v="Manual"/>
    <s v="No"/>
    <n v="2"/>
    <s v="1-2 Miles"/>
    <x v="0"/>
    <x v="21"/>
    <x v="0"/>
    <x v="0"/>
  </r>
  <r>
    <n v="25058"/>
    <x v="0"/>
    <x v="1"/>
    <n v="100000"/>
    <n v="1"/>
    <x v="0"/>
    <s v="Management"/>
    <s v="Yes"/>
    <n v="3"/>
    <s v="2-5 Miles"/>
    <x v="1"/>
    <x v="15"/>
    <x v="0"/>
    <x v="0"/>
  </r>
  <r>
    <n v="23426"/>
    <x v="1"/>
    <x v="1"/>
    <n v="80000"/>
    <n v="5"/>
    <x v="4"/>
    <s v="Management"/>
    <s v="Yes"/>
    <n v="3"/>
    <s v="0-1 Miles"/>
    <x v="1"/>
    <x v="8"/>
    <x v="0"/>
    <x v="0"/>
  </r>
  <r>
    <n v="14798"/>
    <x v="1"/>
    <x v="0"/>
    <n v="10000"/>
    <n v="4"/>
    <x v="3"/>
    <s v="Manual"/>
    <s v="Yes"/>
    <n v="2"/>
    <s v="0-1 Miles"/>
    <x v="0"/>
    <x v="3"/>
    <x v="0"/>
    <x v="1"/>
  </r>
  <r>
    <n v="12664"/>
    <x v="0"/>
    <x v="0"/>
    <n v="130000"/>
    <n v="5"/>
    <x v="1"/>
    <s v="Professional"/>
    <s v="Yes"/>
    <n v="4"/>
    <s v="0-1 Miles"/>
    <x v="0"/>
    <x v="14"/>
    <x v="1"/>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28"/>
    <x v="0"/>
    <x v="0"/>
  </r>
  <r>
    <n v="21980"/>
    <x v="1"/>
    <x v="0"/>
    <n v="60000"/>
    <n v="1"/>
    <x v="0"/>
    <s v="Professional"/>
    <s v="Yes"/>
    <n v="1"/>
    <s v="5-10 Miles"/>
    <x v="1"/>
    <x v="20"/>
    <x v="0"/>
    <x v="1"/>
  </r>
  <r>
    <n v="25460"/>
    <x v="0"/>
    <x v="0"/>
    <n v="20000"/>
    <n v="2"/>
    <x v="2"/>
    <s v="Manual"/>
    <s v="Yes"/>
    <n v="0"/>
    <s v="0-1 Miles"/>
    <x v="0"/>
    <x v="8"/>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37"/>
    <x v="2"/>
    <x v="1"/>
  </r>
  <r>
    <n v="15465"/>
    <x v="0"/>
    <x v="0"/>
    <n v="10000"/>
    <n v="0"/>
    <x v="1"/>
    <s v="Manual"/>
    <s v="No"/>
    <n v="1"/>
    <s v="0-1 Miles"/>
    <x v="1"/>
    <x v="37"/>
    <x v="2"/>
    <x v="0"/>
  </r>
  <r>
    <n v="26757"/>
    <x v="1"/>
    <x v="1"/>
    <n v="90000"/>
    <n v="1"/>
    <x v="0"/>
    <s v="Professional"/>
    <s v="Yes"/>
    <n v="1"/>
    <s v="2-5 Miles"/>
    <x v="1"/>
    <x v="15"/>
    <x v="0"/>
    <x v="1"/>
  </r>
  <r>
    <n v="14233"/>
    <x v="1"/>
    <x v="1"/>
    <n v="100000"/>
    <n v="0"/>
    <x v="2"/>
    <s v="Management"/>
    <s v="Yes"/>
    <n v="3"/>
    <s v="More than 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1"/>
    <x v="1"/>
  </r>
  <r>
    <n v="18144"/>
    <x v="0"/>
    <x v="0"/>
    <n v="80000"/>
    <n v="5"/>
    <x v="0"/>
    <s v="Management"/>
    <s v="Yes"/>
    <n v="2"/>
    <s v="2-5 Miles"/>
    <x v="0"/>
    <x v="33"/>
    <x v="1"/>
    <x v="0"/>
  </r>
  <r>
    <n v="23963"/>
    <x v="0"/>
    <x v="1"/>
    <n v="10000"/>
    <n v="0"/>
    <x v="3"/>
    <s v="Manual"/>
    <s v="No"/>
    <n v="2"/>
    <s v="0-1 Miles"/>
    <x v="0"/>
    <x v="6"/>
    <x v="0"/>
    <x v="0"/>
  </r>
  <r>
    <n v="17907"/>
    <x v="0"/>
    <x v="0"/>
    <n v="10000"/>
    <n v="0"/>
    <x v="1"/>
    <s v="Manual"/>
    <s v="Yes"/>
    <n v="1"/>
    <s v="2-5 Miles"/>
    <x v="1"/>
    <x v="40"/>
    <x v="2"/>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2"/>
    <x v="1"/>
  </r>
  <r>
    <n v="27304"/>
    <x v="1"/>
    <x v="0"/>
    <n v="110000"/>
    <n v="2"/>
    <x v="1"/>
    <s v="Professional"/>
    <s v="No"/>
    <n v="3"/>
    <s v="5-10 Miles"/>
    <x v="0"/>
    <x v="28"/>
    <x v="0"/>
    <x v="0"/>
  </r>
  <r>
    <n v="14191"/>
    <x v="0"/>
    <x v="1"/>
    <n v="160000"/>
    <n v="4"/>
    <x v="1"/>
    <s v="Professional"/>
    <s v="No"/>
    <n v="2"/>
    <s v="More than 10+ Miles"/>
    <x v="0"/>
    <x v="10"/>
    <x v="1"/>
    <x v="1"/>
  </r>
  <r>
    <n v="12212"/>
    <x v="0"/>
    <x v="0"/>
    <n v="10000"/>
    <n v="0"/>
    <x v="4"/>
    <s v="Manual"/>
    <s v="Yes"/>
    <n v="0"/>
    <s v="0-1 Miles"/>
    <x v="0"/>
    <x v="34"/>
    <x v="0"/>
    <x v="1"/>
  </r>
  <r>
    <n v="25529"/>
    <x v="1"/>
    <x v="1"/>
    <n v="10000"/>
    <n v="1"/>
    <x v="4"/>
    <s v="Manual"/>
    <s v="Yes"/>
    <n v="0"/>
    <s v="0-1 Miles"/>
    <x v="0"/>
    <x v="20"/>
    <x v="0"/>
    <x v="0"/>
  </r>
  <r>
    <n v="22170"/>
    <x v="0"/>
    <x v="0"/>
    <n v="30000"/>
    <n v="3"/>
    <x v="1"/>
    <s v="Clerical"/>
    <s v="No"/>
    <n v="2"/>
    <s v="1-2 Miles"/>
    <x v="1"/>
    <x v="10"/>
    <x v="1"/>
    <x v="1"/>
  </r>
  <r>
    <n v="19445"/>
    <x v="0"/>
    <x v="0"/>
    <n v="10000"/>
    <n v="2"/>
    <x v="2"/>
    <s v="Manual"/>
    <s v="No"/>
    <n v="1"/>
    <s v="0-1 Miles"/>
    <x v="0"/>
    <x v="13"/>
    <x v="0"/>
    <x v="0"/>
  </r>
  <r>
    <n v="15265"/>
    <x v="1"/>
    <x v="1"/>
    <n v="40000"/>
    <n v="2"/>
    <x v="0"/>
    <s v="Management"/>
    <s v="Yes"/>
    <n v="2"/>
    <s v="5-10 Miles"/>
    <x v="1"/>
    <x v="29"/>
    <x v="1"/>
    <x v="1"/>
  </r>
  <r>
    <n v="28918"/>
    <x v="0"/>
    <x v="0"/>
    <n v="130000"/>
    <n v="4"/>
    <x v="2"/>
    <s v="Management"/>
    <s v="No"/>
    <n v="4"/>
    <s v="More than 10+ Miles"/>
    <x v="0"/>
    <x v="7"/>
    <x v="1"/>
    <x v="0"/>
  </r>
  <r>
    <n v="15799"/>
    <x v="0"/>
    <x v="0"/>
    <n v="90000"/>
    <n v="1"/>
    <x v="0"/>
    <s v="Professional"/>
    <s v="Yes"/>
    <n v="1"/>
    <s v="2-5 Miles"/>
    <x v="1"/>
    <x v="15"/>
    <x v="0"/>
    <x v="1"/>
  </r>
  <r>
    <n v="11047"/>
    <x v="0"/>
    <x v="0"/>
    <n v="30000"/>
    <n v="3"/>
    <x v="2"/>
    <s v="Skilled Manual"/>
    <s v="No"/>
    <n v="2"/>
    <s v="1-2 Miles"/>
    <x v="1"/>
    <x v="16"/>
    <x v="1"/>
    <x v="1"/>
  </r>
  <r>
    <n v="18151"/>
    <x v="1"/>
    <x v="1"/>
    <n v="80000"/>
    <n v="5"/>
    <x v="1"/>
    <s v="Professional"/>
    <s v="No"/>
    <n v="2"/>
    <s v="More than 10+ Miles"/>
    <x v="0"/>
    <x v="14"/>
    <x v="1"/>
    <x v="0"/>
  </r>
  <r>
    <n v="20606"/>
    <x v="0"/>
    <x v="0"/>
    <n v="70000"/>
    <n v="0"/>
    <x v="0"/>
    <s v="Professional"/>
    <s v="Yes"/>
    <n v="4"/>
    <s v="More than 10+ Miles"/>
    <x v="1"/>
    <x v="21"/>
    <x v="0"/>
    <x v="1"/>
  </r>
  <r>
    <n v="19482"/>
    <x v="0"/>
    <x v="1"/>
    <n v="30000"/>
    <n v="1"/>
    <x v="1"/>
    <s v="Clerical"/>
    <s v="Yes"/>
    <n v="1"/>
    <s v="0-1 Miles"/>
    <x v="0"/>
    <x v="20"/>
    <x v="0"/>
    <x v="1"/>
  </r>
  <r>
    <n v="16489"/>
    <x v="0"/>
    <x v="1"/>
    <n v="30000"/>
    <n v="3"/>
    <x v="2"/>
    <s v="Skilled Manual"/>
    <s v="Yes"/>
    <n v="2"/>
    <s v="5-10 Miles"/>
    <x v="1"/>
    <x v="10"/>
    <x v="1"/>
    <x v="0"/>
  </r>
  <r>
    <n v="26944"/>
    <x v="1"/>
    <x v="1"/>
    <n v="90000"/>
    <n v="2"/>
    <x v="2"/>
    <s v="Manual"/>
    <s v="Yes"/>
    <n v="0"/>
    <s v="0-1 Miles"/>
    <x v="0"/>
    <x v="4"/>
    <x v="0"/>
    <x v="1"/>
  </r>
  <r>
    <n v="15682"/>
    <x v="1"/>
    <x v="0"/>
    <n v="80000"/>
    <n v="5"/>
    <x v="0"/>
    <s v="Management"/>
    <s v="Yes"/>
    <n v="2"/>
    <s v="More than 10+ Miles"/>
    <x v="0"/>
    <x v="24"/>
    <x v="1"/>
    <x v="0"/>
  </r>
  <r>
    <n v="26032"/>
    <x v="0"/>
    <x v="0"/>
    <n v="70000"/>
    <n v="5"/>
    <x v="0"/>
    <s v="Professional"/>
    <s v="Yes"/>
    <n v="4"/>
    <s v="More than 10+ Miles"/>
    <x v="1"/>
    <x v="3"/>
    <x v="0"/>
    <x v="0"/>
  </r>
  <r>
    <n v="17843"/>
    <x v="1"/>
    <x v="0"/>
    <n v="10000"/>
    <n v="0"/>
    <x v="3"/>
    <s v="Manual"/>
    <s v="No"/>
    <n v="2"/>
    <s v="0-1 Miles"/>
    <x v="0"/>
    <x v="21"/>
    <x v="0"/>
    <x v="0"/>
  </r>
  <r>
    <n v="25559"/>
    <x v="1"/>
    <x v="1"/>
    <n v="20000"/>
    <n v="0"/>
    <x v="0"/>
    <s v="Clerical"/>
    <s v="Yes"/>
    <n v="0"/>
    <s v="0-1 Miles"/>
    <x v="1"/>
    <x v="37"/>
    <x v="2"/>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More than 10+ Miles"/>
    <x v="1"/>
    <x v="6"/>
    <x v="0"/>
    <x v="1"/>
  </r>
  <r>
    <n v="24584"/>
    <x v="1"/>
    <x v="1"/>
    <n v="60000"/>
    <n v="0"/>
    <x v="0"/>
    <s v="Professional"/>
    <s v="No"/>
    <n v="3"/>
    <s v="2-5 Miles"/>
    <x v="1"/>
    <x v="23"/>
    <x v="0"/>
    <x v="0"/>
  </r>
  <r>
    <n v="12585"/>
    <x v="0"/>
    <x v="1"/>
    <n v="10000"/>
    <n v="1"/>
    <x v="2"/>
    <s v="Manual"/>
    <s v="Yes"/>
    <n v="0"/>
    <s v="2-5 Miles"/>
    <x v="1"/>
    <x v="40"/>
    <x v="2"/>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More than 10+ Miles"/>
    <x v="0"/>
    <x v="24"/>
    <x v="1"/>
    <x v="0"/>
  </r>
  <r>
    <n v="28729"/>
    <x v="1"/>
    <x v="0"/>
    <n v="20000"/>
    <n v="0"/>
    <x v="3"/>
    <s v="Manual"/>
    <s v="Yes"/>
    <n v="2"/>
    <s v="1-2 Miles"/>
    <x v="0"/>
    <x v="22"/>
    <x v="2"/>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5"/>
    <x v="2"/>
    <x v="0"/>
  </r>
  <r>
    <n v="11451"/>
    <x v="1"/>
    <x v="1"/>
    <n v="70000"/>
    <n v="0"/>
    <x v="0"/>
    <s v="Professional"/>
    <s v="No"/>
    <n v="4"/>
    <s v="More than 10+ Miles"/>
    <x v="1"/>
    <x v="23"/>
    <x v="0"/>
    <x v="1"/>
  </r>
  <r>
    <n v="25553"/>
    <x v="0"/>
    <x v="1"/>
    <n v="30000"/>
    <n v="1"/>
    <x v="0"/>
    <s v="Clerical"/>
    <s v="Yes"/>
    <n v="0"/>
    <s v="0-1 Miles"/>
    <x v="0"/>
    <x v="27"/>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37"/>
    <x v="2"/>
    <x v="0"/>
  </r>
  <r>
    <n v="16043"/>
    <x v="1"/>
    <x v="1"/>
    <n v="10000"/>
    <n v="1"/>
    <x v="0"/>
    <s v="Manual"/>
    <s v="Yes"/>
    <n v="0"/>
    <s v="0-1 Miles"/>
    <x v="0"/>
    <x v="28"/>
    <x v="0"/>
    <x v="0"/>
  </r>
  <r>
    <n v="22399"/>
    <x v="1"/>
    <x v="1"/>
    <n v="10000"/>
    <n v="0"/>
    <x v="1"/>
    <s v="Manual"/>
    <s v="Yes"/>
    <n v="1"/>
    <s v="1-2 Miles"/>
    <x v="1"/>
    <x v="22"/>
    <x v="2"/>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More than 10+ Miles"/>
    <x v="1"/>
    <x v="32"/>
    <x v="0"/>
    <x v="0"/>
  </r>
  <r>
    <n v="19650"/>
    <x v="0"/>
    <x v="0"/>
    <n v="30000"/>
    <n v="2"/>
    <x v="1"/>
    <s v="Clerical"/>
    <s v="No"/>
    <n v="2"/>
    <s v="0-1 Miles"/>
    <x v="1"/>
    <x v="41"/>
    <x v="1"/>
    <x v="0"/>
  </r>
  <r>
    <n v="14135"/>
    <x v="0"/>
    <x v="1"/>
    <n v="20000"/>
    <n v="1"/>
    <x v="1"/>
    <s v="Manual"/>
    <s v="Yes"/>
    <n v="0"/>
    <s v="1-2 Miles"/>
    <x v="0"/>
    <x v="11"/>
    <x v="0"/>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More than 10+ Miles"/>
    <x v="0"/>
    <x v="42"/>
    <x v="1"/>
    <x v="0"/>
  </r>
  <r>
    <n v="22830"/>
    <x v="0"/>
    <x v="1"/>
    <n v="120000"/>
    <n v="4"/>
    <x v="1"/>
    <s v="Management"/>
    <s v="Yes"/>
    <n v="3"/>
    <s v="More than 10+ Miles"/>
    <x v="0"/>
    <x v="16"/>
    <x v="1"/>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40"/>
    <x v="2"/>
    <x v="1"/>
  </r>
  <r>
    <n v="24611"/>
    <x v="1"/>
    <x v="1"/>
    <n v="90000"/>
    <n v="0"/>
    <x v="0"/>
    <s v="Professional"/>
    <s v="No"/>
    <n v="4"/>
    <s v="More than 10+ Miles"/>
    <x v="1"/>
    <x v="11"/>
    <x v="0"/>
    <x v="1"/>
  </r>
  <r>
    <n v="11340"/>
    <x v="0"/>
    <x v="0"/>
    <n v="10000"/>
    <n v="1"/>
    <x v="4"/>
    <s v="Clerical"/>
    <s v="Yes"/>
    <n v="0"/>
    <s v="0-1 Miles"/>
    <x v="0"/>
    <x v="43"/>
    <x v="1"/>
    <x v="1"/>
  </r>
  <r>
    <n v="25693"/>
    <x v="1"/>
    <x v="0"/>
    <n v="30000"/>
    <n v="5"/>
    <x v="4"/>
    <s v="Clerical"/>
    <s v="Yes"/>
    <n v="0"/>
    <s v="0-1 Miles"/>
    <x v="0"/>
    <x v="20"/>
    <x v="0"/>
    <x v="1"/>
  </r>
  <r>
    <n v="25555"/>
    <x v="0"/>
    <x v="0"/>
    <n v="10000"/>
    <n v="0"/>
    <x v="1"/>
    <s v="Manual"/>
    <s v="No"/>
    <n v="1"/>
    <s v="0-1 Miles"/>
    <x v="1"/>
    <x v="22"/>
    <x v="2"/>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40"/>
    <x v="2"/>
    <x v="0"/>
  </r>
  <r>
    <n v="23908"/>
    <x v="1"/>
    <x v="1"/>
    <n v="30000"/>
    <n v="1"/>
    <x v="0"/>
    <s v="Clerical"/>
    <s v="No"/>
    <n v="1"/>
    <s v="0-1 Miles"/>
    <x v="0"/>
    <x v="32"/>
    <x v="0"/>
    <x v="1"/>
  </r>
  <r>
    <n v="22527"/>
    <x v="1"/>
    <x v="0"/>
    <n v="20000"/>
    <n v="0"/>
    <x v="2"/>
    <s v="Manual"/>
    <s v="No"/>
    <n v="1"/>
    <s v="2-5 Miles"/>
    <x v="0"/>
    <x v="19"/>
    <x v="2"/>
    <x v="0"/>
  </r>
  <r>
    <n v="19057"/>
    <x v="0"/>
    <x v="0"/>
    <n v="120000"/>
    <n v="3"/>
    <x v="0"/>
    <s v="Management"/>
    <s v="No"/>
    <n v="2"/>
    <s v="More than 10+ Miles"/>
    <x v="0"/>
    <x v="31"/>
    <x v="0"/>
    <x v="1"/>
  </r>
  <r>
    <n v="18494"/>
    <x v="0"/>
    <x v="1"/>
    <n v="110000"/>
    <n v="5"/>
    <x v="0"/>
    <s v="Management"/>
    <s v="Yes"/>
    <n v="4"/>
    <s v="2-5 Miles"/>
    <x v="1"/>
    <x v="28"/>
    <x v="0"/>
    <x v="1"/>
  </r>
  <r>
    <n v="11249"/>
    <x v="0"/>
    <x v="0"/>
    <n v="130000"/>
    <n v="3"/>
    <x v="1"/>
    <s v="Professional"/>
    <s v="Yes"/>
    <n v="3"/>
    <s v="0-1 Miles"/>
    <x v="0"/>
    <x v="36"/>
    <x v="0"/>
    <x v="1"/>
  </r>
  <r>
    <n v="21568"/>
    <x v="0"/>
    <x v="0"/>
    <n v="100000"/>
    <n v="0"/>
    <x v="2"/>
    <s v="Management"/>
    <s v="Yes"/>
    <n v="4"/>
    <s v="More than 10+ Miles"/>
    <x v="1"/>
    <x v="17"/>
    <x v="0"/>
    <x v="1"/>
  </r>
  <r>
    <n v="13981"/>
    <x v="0"/>
    <x v="0"/>
    <n v="10000"/>
    <n v="5"/>
    <x v="2"/>
    <s v="Skilled Manual"/>
    <s v="No"/>
    <n v="3"/>
    <s v="1-2 Miles"/>
    <x v="1"/>
    <x v="24"/>
    <x v="1"/>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1"/>
    <x v="0"/>
  </r>
  <r>
    <n v="12666"/>
    <x v="1"/>
    <x v="1"/>
    <n v="60000"/>
    <n v="0"/>
    <x v="0"/>
    <s v="Professional"/>
    <s v="No"/>
    <n v="4"/>
    <s v="2-5 Miles"/>
    <x v="1"/>
    <x v="23"/>
    <x v="0"/>
    <x v="0"/>
  </r>
  <r>
    <n v="20598"/>
    <x v="0"/>
    <x v="1"/>
    <n v="100000"/>
    <n v="3"/>
    <x v="3"/>
    <s v="Professional"/>
    <s v="Yes"/>
    <n v="0"/>
    <s v="More than 10+ Miles"/>
    <x v="0"/>
    <x v="14"/>
    <x v="1"/>
    <x v="1"/>
  </r>
  <r>
    <n v="21375"/>
    <x v="1"/>
    <x v="1"/>
    <n v="20000"/>
    <n v="2"/>
    <x v="3"/>
    <s v="Clerical"/>
    <s v="Yes"/>
    <n v="2"/>
    <s v="5-10 Miles"/>
    <x v="1"/>
    <x v="42"/>
    <x v="1"/>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More than 10+ Miles"/>
    <x v="0"/>
    <x v="16"/>
    <x v="1"/>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More than 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40"/>
    <x v="2"/>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6"/>
    <x v="2"/>
    <x v="0"/>
  </r>
  <r>
    <n v="24061"/>
    <x v="0"/>
    <x v="1"/>
    <n v="10000"/>
    <n v="4"/>
    <x v="3"/>
    <s v="Manual"/>
    <s v="Yes"/>
    <n v="1"/>
    <s v="0-1 Miles"/>
    <x v="0"/>
    <x v="8"/>
    <x v="0"/>
    <x v="1"/>
  </r>
  <r>
    <n v="26879"/>
    <x v="1"/>
    <x v="0"/>
    <n v="20000"/>
    <n v="0"/>
    <x v="2"/>
    <s v="Manual"/>
    <s v="No"/>
    <n v="1"/>
    <s v="2-5 Miles"/>
    <x v="0"/>
    <x v="25"/>
    <x v="2"/>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8"/>
    <x v="0"/>
    <x v="0"/>
  </r>
  <r>
    <n v="24201"/>
    <x v="0"/>
    <x v="0"/>
    <n v="10000"/>
    <n v="2"/>
    <x v="2"/>
    <s v="Manual"/>
    <s v="Yes"/>
    <n v="0"/>
    <s v="0-1 Miles"/>
    <x v="0"/>
    <x v="34"/>
    <x v="0"/>
    <x v="1"/>
  </r>
  <r>
    <n v="20625"/>
    <x v="0"/>
    <x v="1"/>
    <n v="100000"/>
    <n v="0"/>
    <x v="2"/>
    <s v="Management"/>
    <s v="Yes"/>
    <n v="3"/>
    <s v="More than 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8"/>
    <x v="0"/>
    <x v="0"/>
  </r>
  <r>
    <n v="14312"/>
    <x v="0"/>
    <x v="0"/>
    <n v="60000"/>
    <n v="1"/>
    <x v="1"/>
    <s v="Skilled Manual"/>
    <s v="Yes"/>
    <n v="1"/>
    <s v="5-10 Miles"/>
    <x v="1"/>
    <x v="12"/>
    <x v="0"/>
    <x v="0"/>
  </r>
  <r>
    <n v="29120"/>
    <x v="1"/>
    <x v="0"/>
    <n v="100000"/>
    <n v="1"/>
    <x v="0"/>
    <s v="Management"/>
    <s v="Yes"/>
    <n v="4"/>
    <s v="2-5 Miles"/>
    <x v="1"/>
    <x v="28"/>
    <x v="0"/>
    <x v="0"/>
  </r>
  <r>
    <n v="24187"/>
    <x v="1"/>
    <x v="0"/>
    <n v="30000"/>
    <n v="3"/>
    <x v="4"/>
    <s v="Clerical"/>
    <s v="No"/>
    <n v="0"/>
    <s v="0-1 Miles"/>
    <x v="0"/>
    <x v="30"/>
    <x v="0"/>
    <x v="1"/>
  </r>
  <r>
    <n v="15758"/>
    <x v="0"/>
    <x v="1"/>
    <n v="130000"/>
    <n v="0"/>
    <x v="4"/>
    <s v="Management"/>
    <s v="Yes"/>
    <n v="0"/>
    <s v="5-10 Miles"/>
    <x v="1"/>
    <x v="2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More than 10+ Miles"/>
    <x v="1"/>
    <x v="21"/>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4"/>
    <x v="1"/>
    <x v="0"/>
  </r>
  <r>
    <n v="17926"/>
    <x v="1"/>
    <x v="0"/>
    <n v="40000"/>
    <n v="0"/>
    <x v="0"/>
    <s v="Clerical"/>
    <s v="No"/>
    <n v="0"/>
    <s v="0-1 Miles"/>
    <x v="1"/>
    <x v="26"/>
    <x v="2"/>
    <x v="1"/>
  </r>
  <r>
    <n v="26928"/>
    <x v="1"/>
    <x v="1"/>
    <n v="30000"/>
    <n v="1"/>
    <x v="0"/>
    <s v="Clerical"/>
    <s v="Yes"/>
    <n v="0"/>
    <s v="0-1 Miles"/>
    <x v="0"/>
    <x v="24"/>
    <x v="1"/>
    <x v="1"/>
  </r>
  <r>
    <n v="20897"/>
    <x v="0"/>
    <x v="0"/>
    <n v="30000"/>
    <n v="1"/>
    <x v="0"/>
    <s v="Skilled Manual"/>
    <s v="Yes"/>
    <n v="2"/>
    <s v="0-1 Miles"/>
    <x v="0"/>
    <x v="8"/>
    <x v="0"/>
    <x v="0"/>
  </r>
  <r>
    <n v="28207"/>
    <x v="0"/>
    <x v="1"/>
    <n v="80000"/>
    <n v="4"/>
    <x v="4"/>
    <s v="Management"/>
    <s v="Yes"/>
    <n v="1"/>
    <s v="0-1 Miles"/>
    <x v="1"/>
    <x v="4"/>
    <x v="0"/>
    <x v="1"/>
  </r>
  <r>
    <n v="25923"/>
    <x v="1"/>
    <x v="1"/>
    <n v="10000"/>
    <n v="2"/>
    <x v="3"/>
    <s v="Clerical"/>
    <s v="Yes"/>
    <n v="2"/>
    <s v="5-10 Miles"/>
    <x v="1"/>
    <x v="7"/>
    <x v="1"/>
    <x v="0"/>
  </r>
  <r>
    <n v="11000"/>
    <x v="0"/>
    <x v="1"/>
    <n v="90000"/>
    <n v="2"/>
    <x v="0"/>
    <s v="Professional"/>
    <s v="Yes"/>
    <n v="0"/>
    <s v="1-2 Miles"/>
    <x v="1"/>
    <x v="8"/>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1"/>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1"/>
    <x v="1"/>
  </r>
  <r>
    <n v="14154"/>
    <x v="0"/>
    <x v="1"/>
    <n v="30000"/>
    <n v="0"/>
    <x v="0"/>
    <s v="Clerical"/>
    <s v="Yes"/>
    <n v="0"/>
    <s v="0-1 Miles"/>
    <x v="0"/>
    <x v="11"/>
    <x v="0"/>
    <x v="1"/>
  </r>
  <r>
    <n v="19066"/>
    <x v="0"/>
    <x v="1"/>
    <n v="130000"/>
    <n v="4"/>
    <x v="1"/>
    <s v="Professional"/>
    <s v="No"/>
    <n v="3"/>
    <s v="More than 10+ Miles"/>
    <x v="0"/>
    <x v="9"/>
    <x v="0"/>
    <x v="0"/>
  </r>
  <r>
    <n v="11386"/>
    <x v="0"/>
    <x v="0"/>
    <n v="30000"/>
    <n v="3"/>
    <x v="0"/>
    <s v="Clerical"/>
    <s v="Yes"/>
    <n v="0"/>
    <s v="0-1 Miles"/>
    <x v="0"/>
    <x v="12"/>
    <x v="0"/>
    <x v="0"/>
  </r>
  <r>
    <n v="20228"/>
    <x v="0"/>
    <x v="1"/>
    <n v="100000"/>
    <n v="0"/>
    <x v="4"/>
    <s v="Management"/>
    <s v="Yes"/>
    <n v="0"/>
    <s v="2-5 Miles"/>
    <x v="1"/>
    <x v="8"/>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2"/>
    <x v="2"/>
    <x v="1"/>
  </r>
  <r>
    <n v="28379"/>
    <x v="0"/>
    <x v="1"/>
    <n v="30000"/>
    <n v="1"/>
    <x v="0"/>
    <s v="Skilled Manual"/>
    <s v="Yes"/>
    <n v="2"/>
    <s v="0-1 Miles"/>
    <x v="0"/>
    <x v="8"/>
    <x v="0"/>
    <x v="0"/>
  </r>
  <r>
    <n v="14865"/>
    <x v="1"/>
    <x v="1"/>
    <n v="40000"/>
    <n v="2"/>
    <x v="1"/>
    <s v="Clerical"/>
    <s v="Yes"/>
    <n v="2"/>
    <s v="1-2 Miles"/>
    <x v="0"/>
    <x v="4"/>
    <x v="0"/>
    <x v="0"/>
  </r>
  <r>
    <n v="12663"/>
    <x v="0"/>
    <x v="0"/>
    <n v="90000"/>
    <n v="5"/>
    <x v="3"/>
    <s v="Skilled Manual"/>
    <s v="Yes"/>
    <n v="2"/>
    <s v="More than 10+ Miles"/>
    <x v="0"/>
    <x v="14"/>
    <x v="1"/>
    <x v="0"/>
  </r>
  <r>
    <n v="24898"/>
    <x v="1"/>
    <x v="0"/>
    <n v="80000"/>
    <n v="0"/>
    <x v="0"/>
    <s v="Professional"/>
    <s v="Yes"/>
    <n v="3"/>
    <s v="More than 10+ Miles"/>
    <x v="1"/>
    <x v="21"/>
    <x v="0"/>
    <x v="0"/>
  </r>
  <r>
    <n v="19508"/>
    <x v="0"/>
    <x v="1"/>
    <n v="10000"/>
    <n v="0"/>
    <x v="3"/>
    <s v="Manual"/>
    <s v="No"/>
    <n v="2"/>
    <s v="0-1 Miles"/>
    <x v="0"/>
    <x v="25"/>
    <x v="2"/>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1"/>
    <n v="80000"/>
    <n v="5"/>
    <x v="4"/>
    <s v="Management"/>
    <s v="No"/>
    <n v="2"/>
    <s v="0-1 Miles"/>
    <x v="1"/>
    <x v="32"/>
    <x v="0"/>
    <x v="0"/>
  </r>
  <r>
    <n v="27165"/>
    <x v="1"/>
    <x v="1"/>
    <n v="20000"/>
    <n v="0"/>
    <x v="3"/>
    <s v="Manual"/>
    <s v="No"/>
    <n v="2"/>
    <s v="0-1 Miles"/>
    <x v="0"/>
    <x v="17"/>
    <x v="0"/>
    <x v="0"/>
  </r>
  <r>
    <n v="29424"/>
    <x v="0"/>
    <x v="1"/>
    <n v="10000"/>
    <n v="0"/>
    <x v="3"/>
    <s v="Manual"/>
    <s v="Yes"/>
    <n v="2"/>
    <s v="0-1 Miles"/>
    <x v="0"/>
    <x v="21"/>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5"/>
    <x v="2"/>
    <x v="0"/>
  </r>
  <r>
    <n v="19174"/>
    <x v="1"/>
    <x v="0"/>
    <n v="30000"/>
    <n v="0"/>
    <x v="2"/>
    <s v="Manual"/>
    <s v="No"/>
    <n v="1"/>
    <s v="2-5 Miles"/>
    <x v="0"/>
    <x v="21"/>
    <x v="0"/>
    <x v="1"/>
  </r>
  <r>
    <n v="19183"/>
    <x v="1"/>
    <x v="1"/>
    <n v="10000"/>
    <n v="0"/>
    <x v="3"/>
    <s v="Manual"/>
    <s v="Yes"/>
    <n v="2"/>
    <s v="1-2 Miles"/>
    <x v="0"/>
    <x v="11"/>
    <x v="0"/>
    <x v="0"/>
  </r>
  <r>
    <n v="13683"/>
    <x v="1"/>
    <x v="0"/>
    <n v="30000"/>
    <n v="0"/>
    <x v="2"/>
    <s v="Manual"/>
    <s v="No"/>
    <n v="1"/>
    <s v="2-5 Miles"/>
    <x v="0"/>
    <x v="21"/>
    <x v="0"/>
    <x v="0"/>
  </r>
  <r>
    <n v="17848"/>
    <x v="1"/>
    <x v="1"/>
    <n v="30000"/>
    <n v="0"/>
    <x v="1"/>
    <s v="Clerical"/>
    <s v="No"/>
    <n v="1"/>
    <s v="2-5 Miles"/>
    <x v="0"/>
    <x v="23"/>
    <x v="0"/>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2"/>
    <x v="1"/>
  </r>
  <r>
    <n v="27878"/>
    <x v="1"/>
    <x v="1"/>
    <n v="20000"/>
    <n v="0"/>
    <x v="1"/>
    <s v="Manual"/>
    <s v="No"/>
    <n v="0"/>
    <s v="0-1 Miles"/>
    <x v="1"/>
    <x v="26"/>
    <x v="2"/>
    <x v="1"/>
  </r>
  <r>
    <n v="13572"/>
    <x v="1"/>
    <x v="1"/>
    <n v="10000"/>
    <n v="3"/>
    <x v="2"/>
    <s v="Manual"/>
    <s v="Yes"/>
    <n v="0"/>
    <s v="0-1 Miles"/>
    <x v="0"/>
    <x v="34"/>
    <x v="0"/>
    <x v="1"/>
  </r>
  <r>
    <n v="27941"/>
    <x v="0"/>
    <x v="0"/>
    <n v="80000"/>
    <n v="4"/>
    <x v="1"/>
    <s v="Professional"/>
    <s v="Yes"/>
    <n v="2"/>
    <s v="2-5 Miles"/>
    <x v="0"/>
    <x v="39"/>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More than 10+ Miles"/>
    <x v="1"/>
    <x v="21"/>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1"/>
    <x v="1"/>
  </r>
  <r>
    <n v="17230"/>
    <x v="0"/>
    <x v="1"/>
    <n v="80000"/>
    <n v="0"/>
    <x v="0"/>
    <s v="Professional"/>
    <s v="Yes"/>
    <n v="3"/>
    <s v="More than 10+ Miles"/>
    <x v="1"/>
    <x v="25"/>
    <x v="2"/>
    <x v="0"/>
  </r>
  <r>
    <n v="13082"/>
    <x v="1"/>
    <x v="1"/>
    <n v="130000"/>
    <n v="0"/>
    <x v="4"/>
    <s v="Management"/>
    <s v="Yes"/>
    <n v="0"/>
    <s v="2-5 Miles"/>
    <x v="1"/>
    <x v="28"/>
    <x v="0"/>
    <x v="1"/>
  </r>
  <r>
    <n v="22518"/>
    <x v="1"/>
    <x v="0"/>
    <n v="30000"/>
    <n v="3"/>
    <x v="1"/>
    <s v="Clerical"/>
    <s v="No"/>
    <n v="2"/>
    <s v="0-1 Miles"/>
    <x v="0"/>
    <x v="40"/>
    <x v="2"/>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1"/>
    <x v="1"/>
  </r>
  <r>
    <n v="25752"/>
    <x v="1"/>
    <x v="0"/>
    <n v="20000"/>
    <n v="2"/>
    <x v="1"/>
    <s v="Manual"/>
    <s v="No"/>
    <n v="1"/>
    <s v="0-1 Miles"/>
    <x v="0"/>
    <x v="39"/>
    <x v="0"/>
    <x v="1"/>
  </r>
  <r>
    <n v="17324"/>
    <x v="0"/>
    <x v="0"/>
    <n v="100000"/>
    <n v="4"/>
    <x v="0"/>
    <s v="Professional"/>
    <s v="Yes"/>
    <n v="1"/>
    <s v="More than 10+ Miles"/>
    <x v="1"/>
    <x v="30"/>
    <x v="0"/>
    <x v="0"/>
  </r>
  <r>
    <n v="22918"/>
    <x v="1"/>
    <x v="1"/>
    <n v="80000"/>
    <n v="5"/>
    <x v="4"/>
    <s v="Management"/>
    <s v="Yes"/>
    <n v="3"/>
    <s v="0-1 Miles"/>
    <x v="1"/>
    <x v="5"/>
    <x v="0"/>
    <x v="0"/>
  </r>
  <r>
    <n v="12510"/>
    <x v="0"/>
    <x v="1"/>
    <n v="40000"/>
    <n v="1"/>
    <x v="0"/>
    <s v="Skilled Manual"/>
    <s v="Yes"/>
    <n v="1"/>
    <s v="0-1 Miles"/>
    <x v="0"/>
    <x v="1"/>
    <x v="0"/>
    <x v="1"/>
  </r>
  <r>
    <n v="25512"/>
    <x v="1"/>
    <x v="1"/>
    <n v="20000"/>
    <n v="0"/>
    <x v="2"/>
    <s v="Manual"/>
    <s v="No"/>
    <n v="1"/>
    <s v="2-5 Miles"/>
    <x v="0"/>
    <x v="25"/>
    <x v="2"/>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1"/>
    <x v="1"/>
  </r>
  <r>
    <n v="18140"/>
    <x v="0"/>
    <x v="1"/>
    <n v="130000"/>
    <n v="3"/>
    <x v="1"/>
    <s v="Professional"/>
    <s v="No"/>
    <n v="3"/>
    <s v="5-10 Miles"/>
    <x v="0"/>
    <x v="36"/>
    <x v="0"/>
    <x v="1"/>
  </r>
  <r>
    <n v="20417"/>
    <x v="0"/>
    <x v="1"/>
    <n v="30000"/>
    <n v="3"/>
    <x v="1"/>
    <s v="Clerical"/>
    <s v="No"/>
    <n v="2"/>
    <s v="5-10 Miles"/>
    <x v="1"/>
    <x v="16"/>
    <x v="1"/>
    <x v="0"/>
  </r>
  <r>
    <n v="18267"/>
    <x v="0"/>
    <x v="1"/>
    <n v="60000"/>
    <n v="3"/>
    <x v="0"/>
    <s v="Professional"/>
    <s v="Yes"/>
    <n v="2"/>
    <s v="5-10 Miles"/>
    <x v="1"/>
    <x v="1"/>
    <x v="0"/>
    <x v="0"/>
  </r>
  <r>
    <n v="13620"/>
    <x v="1"/>
    <x v="1"/>
    <n v="70000"/>
    <n v="0"/>
    <x v="0"/>
    <s v="Professional"/>
    <s v="No"/>
    <n v="3"/>
    <s v="More than 10+ Miles"/>
    <x v="1"/>
    <x v="25"/>
    <x v="2"/>
    <x v="1"/>
  </r>
  <r>
    <n v="22974"/>
    <x v="0"/>
    <x v="0"/>
    <n v="30000"/>
    <n v="2"/>
    <x v="1"/>
    <s v="Clerical"/>
    <s v="Yes"/>
    <n v="2"/>
    <s v="5-10 Miles"/>
    <x v="1"/>
    <x v="45"/>
    <x v="1"/>
    <x v="0"/>
  </r>
  <r>
    <n v="13586"/>
    <x v="0"/>
    <x v="1"/>
    <n v="80000"/>
    <n v="4"/>
    <x v="1"/>
    <s v="Professional"/>
    <s v="Yes"/>
    <n v="2"/>
    <s v="More than 10+ Miles"/>
    <x v="0"/>
    <x v="39"/>
    <x v="0"/>
    <x v="0"/>
  </r>
  <r>
    <n v="17978"/>
    <x v="0"/>
    <x v="1"/>
    <n v="40000"/>
    <n v="0"/>
    <x v="4"/>
    <s v="Clerical"/>
    <s v="Yes"/>
    <n v="0"/>
    <s v="0-1 Miles"/>
    <x v="0"/>
    <x v="34"/>
    <x v="0"/>
    <x v="1"/>
  </r>
  <r>
    <n v="12581"/>
    <x v="1"/>
    <x v="0"/>
    <n v="10000"/>
    <n v="0"/>
    <x v="1"/>
    <s v="Manual"/>
    <s v="No"/>
    <n v="1"/>
    <s v="0-1 Miles"/>
    <x v="1"/>
    <x v="26"/>
    <x v="2"/>
    <x v="1"/>
  </r>
  <r>
    <n v="18018"/>
    <x v="1"/>
    <x v="1"/>
    <n v="30000"/>
    <n v="3"/>
    <x v="1"/>
    <s v="Clerical"/>
    <s v="Yes"/>
    <n v="0"/>
    <s v="0-1 Miles"/>
    <x v="0"/>
    <x v="1"/>
    <x v="0"/>
    <x v="0"/>
  </r>
  <r>
    <n v="28957"/>
    <x v="1"/>
    <x v="0"/>
    <n v="120000"/>
    <n v="0"/>
    <x v="3"/>
    <s v="Professional"/>
    <s v="Yes"/>
    <n v="4"/>
    <s v="More than 10+ Miles"/>
    <x v="1"/>
    <x v="17"/>
    <x v="0"/>
    <x v="1"/>
  </r>
  <r>
    <n v="13690"/>
    <x v="1"/>
    <x v="0"/>
    <n v="20000"/>
    <n v="0"/>
    <x v="3"/>
    <s v="Manual"/>
    <s v="No"/>
    <n v="2"/>
    <s v="1-2 Miles"/>
    <x v="0"/>
    <x v="17"/>
    <x v="0"/>
    <x v="1"/>
  </r>
  <r>
    <n v="12568"/>
    <x v="0"/>
    <x v="0"/>
    <n v="30000"/>
    <n v="1"/>
    <x v="0"/>
    <s v="Clerical"/>
    <s v="Yes"/>
    <n v="0"/>
    <s v="0-1 Miles"/>
    <x v="0"/>
    <x v="46"/>
    <x v="1"/>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1"/>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1"/>
    <x v="0"/>
  </r>
  <r>
    <n v="27771"/>
    <x v="1"/>
    <x v="1"/>
    <n v="30000"/>
    <n v="1"/>
    <x v="0"/>
    <s v="Clerical"/>
    <s v="Yes"/>
    <n v="1"/>
    <s v="1-2 Miles"/>
    <x v="0"/>
    <x v="32"/>
    <x v="0"/>
    <x v="1"/>
  </r>
  <r>
    <n v="26167"/>
    <x v="1"/>
    <x v="0"/>
    <n v="40000"/>
    <n v="2"/>
    <x v="0"/>
    <s v="Management"/>
    <s v="No"/>
    <n v="1"/>
    <s v="5-10 Miles"/>
    <x v="1"/>
    <x v="39"/>
    <x v="0"/>
    <x v="1"/>
  </r>
  <r>
    <n v="25792"/>
    <x v="1"/>
    <x v="0"/>
    <n v="110000"/>
    <n v="3"/>
    <x v="0"/>
    <s v="Management"/>
    <s v="Yes"/>
    <n v="4"/>
    <s v="More than 10+ Miles"/>
    <x v="0"/>
    <x v="39"/>
    <x v="0"/>
    <x v="0"/>
  </r>
  <r>
    <n v="11555"/>
    <x v="0"/>
    <x v="0"/>
    <n v="40000"/>
    <n v="1"/>
    <x v="0"/>
    <s v="Clerical"/>
    <s v="Yes"/>
    <n v="0"/>
    <s v="0-1 Miles"/>
    <x v="0"/>
    <x v="48"/>
    <x v="1"/>
    <x v="0"/>
  </r>
  <r>
    <n v="22381"/>
    <x v="0"/>
    <x v="1"/>
    <n v="10000"/>
    <n v="1"/>
    <x v="4"/>
    <s v="Manual"/>
    <s v="Yes"/>
    <n v="0"/>
    <s v="0-1 Miles"/>
    <x v="0"/>
    <x v="20"/>
    <x v="0"/>
    <x v="0"/>
  </r>
  <r>
    <n v="17882"/>
    <x v="0"/>
    <x v="1"/>
    <n v="20000"/>
    <n v="1"/>
    <x v="4"/>
    <s v="Clerical"/>
    <s v="Yes"/>
    <n v="0"/>
    <s v="0-1 Miles"/>
    <x v="0"/>
    <x v="20"/>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8"/>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More than 10+ Miles"/>
    <x v="0"/>
    <x v="14"/>
    <x v="1"/>
    <x v="0"/>
  </r>
  <r>
    <n v="14547"/>
    <x v="0"/>
    <x v="1"/>
    <n v="10000"/>
    <n v="2"/>
    <x v="1"/>
    <s v="Manual"/>
    <s v="Yes"/>
    <n v="0"/>
    <s v="1-2 Miles"/>
    <x v="0"/>
    <x v="36"/>
    <x v="0"/>
    <x v="0"/>
  </r>
  <r>
    <n v="24901"/>
    <x v="1"/>
    <x v="1"/>
    <n v="110000"/>
    <n v="0"/>
    <x v="1"/>
    <s v="Management"/>
    <s v="No"/>
    <n v="3"/>
    <s v="More than 10+ Miles"/>
    <x v="1"/>
    <x v="21"/>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6"/>
    <x v="2"/>
    <x v="0"/>
  </r>
  <r>
    <n v="17048"/>
    <x v="1"/>
    <x v="0"/>
    <n v="90000"/>
    <n v="1"/>
    <x v="4"/>
    <s v="Management"/>
    <s v="Yes"/>
    <n v="0"/>
    <s v="0-1 Miles"/>
    <x v="1"/>
    <x v="4"/>
    <x v="0"/>
    <x v="1"/>
  </r>
  <r>
    <n v="22204"/>
    <x v="0"/>
    <x v="1"/>
    <n v="110000"/>
    <n v="4"/>
    <x v="0"/>
    <s v="Management"/>
    <s v="Yes"/>
    <n v="3"/>
    <s v="2-5 Miles"/>
    <x v="1"/>
    <x v="28"/>
    <x v="0"/>
    <x v="0"/>
  </r>
  <r>
    <n v="12718"/>
    <x v="1"/>
    <x v="0"/>
    <n v="30000"/>
    <n v="0"/>
    <x v="1"/>
    <s v="Clerical"/>
    <s v="Yes"/>
    <n v="1"/>
    <s v="2-5 Miles"/>
    <x v="0"/>
    <x v="23"/>
    <x v="0"/>
    <x v="0"/>
  </r>
  <r>
    <n v="15019"/>
    <x v="1"/>
    <x v="0"/>
    <n v="30000"/>
    <n v="3"/>
    <x v="2"/>
    <s v="Skilled Manual"/>
    <s v="Yes"/>
    <n v="2"/>
    <s v="5-10 Miles"/>
    <x v="1"/>
    <x v="10"/>
    <x v="1"/>
    <x v="0"/>
  </r>
  <r>
    <n v="28488"/>
    <x v="1"/>
    <x v="1"/>
    <n v="20000"/>
    <n v="0"/>
    <x v="1"/>
    <s v="Manual"/>
    <s v="Yes"/>
    <n v="0"/>
    <s v="0-1 Miles"/>
    <x v="1"/>
    <x v="26"/>
    <x v="2"/>
    <x v="1"/>
  </r>
  <r>
    <n v="21891"/>
    <x v="0"/>
    <x v="0"/>
    <n v="110000"/>
    <n v="0"/>
    <x v="2"/>
    <s v="Management"/>
    <s v="Yes"/>
    <n v="3"/>
    <s v="More than 10+ Miles"/>
    <x v="1"/>
    <x v="17"/>
    <x v="0"/>
    <x v="1"/>
  </r>
  <r>
    <n v="27814"/>
    <x v="1"/>
    <x v="0"/>
    <n v="30000"/>
    <n v="3"/>
    <x v="1"/>
    <s v="Clerical"/>
    <s v="No"/>
    <n v="1"/>
    <s v="0-1 Miles"/>
    <x v="0"/>
    <x v="22"/>
    <x v="2"/>
    <x v="0"/>
  </r>
  <r>
    <n v="22175"/>
    <x v="0"/>
    <x v="0"/>
    <n v="30000"/>
    <n v="3"/>
    <x v="2"/>
    <s v="Skilled Manual"/>
    <s v="Yes"/>
    <n v="2"/>
    <s v="5-10 Miles"/>
    <x v="1"/>
    <x v="39"/>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6"/>
    <x v="2"/>
    <x v="1"/>
  </r>
  <r>
    <n v="24093"/>
    <x v="1"/>
    <x v="0"/>
    <n v="80000"/>
    <n v="0"/>
    <x v="4"/>
    <s v="Skilled Manual"/>
    <s v="No"/>
    <n v="0"/>
    <s v="0-1 Miles"/>
    <x v="0"/>
    <x v="8"/>
    <x v="0"/>
    <x v="1"/>
  </r>
  <r>
    <n v="19618"/>
    <x v="0"/>
    <x v="1"/>
    <n v="70000"/>
    <n v="5"/>
    <x v="1"/>
    <s v="Skilled Manual"/>
    <s v="Yes"/>
    <n v="2"/>
    <s v="0-1 Miles"/>
    <x v="1"/>
    <x v="20"/>
    <x v="0"/>
    <x v="0"/>
  </r>
  <r>
    <n v="21561"/>
    <x v="1"/>
    <x v="1"/>
    <n v="90000"/>
    <n v="0"/>
    <x v="0"/>
    <s v="Professional"/>
    <s v="No"/>
    <n v="3"/>
    <s v="More than 10+ Miles"/>
    <x v="1"/>
    <x v="17"/>
    <x v="0"/>
    <x v="1"/>
  </r>
  <r>
    <n v="11061"/>
    <x v="0"/>
    <x v="1"/>
    <n v="7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1"/>
    <x v="0"/>
    <x v="0"/>
  </r>
  <r>
    <n v="25307"/>
    <x v="0"/>
    <x v="0"/>
    <n v="40000"/>
    <n v="1"/>
    <x v="0"/>
    <s v="Skilled Manual"/>
    <s v="Yes"/>
    <n v="1"/>
    <s v="1-2 Miles"/>
    <x v="0"/>
    <x v="21"/>
    <x v="0"/>
    <x v="1"/>
  </r>
  <r>
    <n v="14278"/>
    <x v="0"/>
    <x v="0"/>
    <n v="130000"/>
    <n v="0"/>
    <x v="4"/>
    <s v="Management"/>
    <s v="Yes"/>
    <n v="1"/>
    <s v="More than 10+ Miles"/>
    <x v="1"/>
    <x v="28"/>
    <x v="0"/>
    <x v="0"/>
  </r>
  <r>
    <n v="20711"/>
    <x v="0"/>
    <x v="0"/>
    <n v="40000"/>
    <n v="1"/>
    <x v="0"/>
    <s v="Skilled Manual"/>
    <s v="Yes"/>
    <n v="0"/>
    <s v="1-2 Miles"/>
    <x v="0"/>
    <x v="21"/>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9"/>
    <x v="0"/>
    <x v="1"/>
  </r>
  <r>
    <n v="26385"/>
    <x v="1"/>
    <x v="1"/>
    <n v="120000"/>
    <n v="3"/>
    <x v="2"/>
    <s v="Professional"/>
    <s v="No"/>
    <n v="4"/>
    <s v="5-10 Miles"/>
    <x v="0"/>
    <x v="5"/>
    <x v="0"/>
    <x v="0"/>
  </r>
  <r>
    <n v="12236"/>
    <x v="0"/>
    <x v="0"/>
    <n v="20000"/>
    <n v="1"/>
    <x v="1"/>
    <s v="Manual"/>
    <s v="Yes"/>
    <n v="0"/>
    <s v="0-1 Miles"/>
    <x v="0"/>
    <x v="27"/>
    <x v="1"/>
    <x v="0"/>
  </r>
  <r>
    <n v="21560"/>
    <x v="0"/>
    <x v="1"/>
    <n v="120000"/>
    <n v="0"/>
    <x v="3"/>
    <s v="Professional"/>
    <s v="Yes"/>
    <n v="4"/>
    <s v="More than 10+ Miles"/>
    <x v="1"/>
    <x v="21"/>
    <x v="0"/>
    <x v="1"/>
  </r>
  <r>
    <n v="21554"/>
    <x v="1"/>
    <x v="0"/>
    <n v="80000"/>
    <n v="0"/>
    <x v="0"/>
    <s v="Professional"/>
    <s v="No"/>
    <n v="3"/>
    <s v="More than 10+ Miles"/>
    <x v="1"/>
    <x v="6"/>
    <x v="0"/>
    <x v="0"/>
  </r>
  <r>
    <n v="13662"/>
    <x v="1"/>
    <x v="1"/>
    <n v="20000"/>
    <n v="0"/>
    <x v="3"/>
    <s v="Manual"/>
    <s v="Yes"/>
    <n v="2"/>
    <s v="1-2 Miles"/>
    <x v="0"/>
    <x v="23"/>
    <x v="0"/>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8"/>
    <x v="0"/>
    <x v="0"/>
  </r>
  <r>
    <n v="17754"/>
    <x v="1"/>
    <x v="0"/>
    <n v="30000"/>
    <n v="3"/>
    <x v="0"/>
    <s v="Clerical"/>
    <s v="Yes"/>
    <n v="0"/>
    <s v="0-1 Miles"/>
    <x v="0"/>
    <x v="30"/>
    <x v="0"/>
    <x v="1"/>
  </r>
  <r>
    <n v="11149"/>
    <x v="0"/>
    <x v="1"/>
    <n v="40000"/>
    <n v="2"/>
    <x v="0"/>
    <s v="Management"/>
    <s v="Yes"/>
    <n v="2"/>
    <s v="0-1 Miles"/>
    <x v="1"/>
    <x v="27"/>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8"/>
    <x v="0"/>
    <x v="0"/>
  </r>
  <r>
    <n v="20147"/>
    <x v="0"/>
    <x v="0"/>
    <n v="30000"/>
    <n v="1"/>
    <x v="0"/>
    <s v="Clerical"/>
    <s v="Yes"/>
    <n v="0"/>
    <s v="0-1 Miles"/>
    <x v="0"/>
    <x v="27"/>
    <x v="1"/>
    <x v="0"/>
  </r>
  <r>
    <n v="15612"/>
    <x v="1"/>
    <x v="1"/>
    <n v="30000"/>
    <n v="0"/>
    <x v="2"/>
    <s v="Manual"/>
    <s v="No"/>
    <n v="1"/>
    <s v="1-2 Miles"/>
    <x v="0"/>
    <x v="26"/>
    <x v="2"/>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1"/>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1"/>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3"/>
    <x v="0"/>
    <x v="1"/>
  </r>
  <r>
    <n v="19491"/>
    <x v="1"/>
    <x v="1"/>
    <n v="30000"/>
    <n v="2"/>
    <x v="1"/>
    <s v="Clerical"/>
    <s v="Yes"/>
    <n v="2"/>
    <s v="0-1 Miles"/>
    <x v="0"/>
    <x v="0"/>
    <x v="0"/>
    <x v="0"/>
  </r>
  <r>
    <n v="26415"/>
    <x v="0"/>
    <x v="0"/>
    <n v="90000"/>
    <n v="4"/>
    <x v="3"/>
    <s v="Skilled Manual"/>
    <s v="Yes"/>
    <n v="4"/>
    <s v="More than 10+ Miles"/>
    <x v="0"/>
    <x v="7"/>
    <x v="1"/>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1"/>
    <x v="0"/>
    <x v="0"/>
  </r>
  <r>
    <n v="11738"/>
    <x v="0"/>
    <x v="1"/>
    <n v="60000"/>
    <n v="4"/>
    <x v="0"/>
    <s v="Professional"/>
    <s v="Yes"/>
    <n v="0"/>
    <s v="2-5 Miles"/>
    <x v="2"/>
    <x v="30"/>
    <x v="0"/>
    <x v="0"/>
  </r>
  <r>
    <n v="25065"/>
    <x v="0"/>
    <x v="1"/>
    <n v="70000"/>
    <n v="2"/>
    <x v="3"/>
    <s v="Skilled Manual"/>
    <s v="Yes"/>
    <n v="2"/>
    <s v="5-10 Miles"/>
    <x v="2"/>
    <x v="28"/>
    <x v="0"/>
    <x v="0"/>
  </r>
  <r>
    <n v="26238"/>
    <x v="1"/>
    <x v="0"/>
    <n v="40000"/>
    <n v="3"/>
    <x v="1"/>
    <s v="Clerical"/>
    <s v="Yes"/>
    <n v="1"/>
    <s v="1-2 Miles"/>
    <x v="2"/>
    <x v="23"/>
    <x v="0"/>
    <x v="1"/>
  </r>
  <r>
    <n v="23707"/>
    <x v="1"/>
    <x v="1"/>
    <n v="70000"/>
    <n v="5"/>
    <x v="0"/>
    <s v="Management"/>
    <s v="Yes"/>
    <n v="3"/>
    <s v="More than 10+ Miles"/>
    <x v="2"/>
    <x v="2"/>
    <x v="1"/>
    <x v="1"/>
  </r>
  <r>
    <n v="27650"/>
    <x v="0"/>
    <x v="1"/>
    <n v="70000"/>
    <n v="4"/>
    <x v="2"/>
    <s v="Professional"/>
    <s v="Yes"/>
    <n v="0"/>
    <s v="5-10 Miles"/>
    <x v="2"/>
    <x v="36"/>
    <x v="0"/>
    <x v="0"/>
  </r>
  <r>
    <n v="24981"/>
    <x v="0"/>
    <x v="1"/>
    <n v="60000"/>
    <n v="2"/>
    <x v="1"/>
    <s v="Professional"/>
    <s v="Yes"/>
    <n v="2"/>
    <s v="More than 10+ Miles"/>
    <x v="2"/>
    <x v="16"/>
    <x v="1"/>
    <x v="0"/>
  </r>
  <r>
    <n v="20678"/>
    <x v="1"/>
    <x v="0"/>
    <n v="60000"/>
    <n v="3"/>
    <x v="0"/>
    <s v="Skilled Manual"/>
    <s v="Yes"/>
    <n v="1"/>
    <s v="2-5 Miles"/>
    <x v="2"/>
    <x v="8"/>
    <x v="0"/>
    <x v="1"/>
  </r>
  <r>
    <n v="15302"/>
    <x v="1"/>
    <x v="0"/>
    <n v="70000"/>
    <n v="1"/>
    <x v="4"/>
    <s v="Professional"/>
    <s v="Yes"/>
    <n v="0"/>
    <s v="2-5 Miles"/>
    <x v="2"/>
    <x v="17"/>
    <x v="0"/>
    <x v="1"/>
  </r>
  <r>
    <n v="26012"/>
    <x v="0"/>
    <x v="1"/>
    <n v="80000"/>
    <n v="1"/>
    <x v="1"/>
    <s v="Skilled Manual"/>
    <s v="Yes"/>
    <n v="1"/>
    <s v="2-5 Miles"/>
    <x v="2"/>
    <x v="28"/>
    <x v="0"/>
    <x v="1"/>
  </r>
  <r>
    <n v="26575"/>
    <x v="1"/>
    <x v="0"/>
    <n v="40000"/>
    <n v="0"/>
    <x v="2"/>
    <s v="Skilled Manual"/>
    <s v="No"/>
    <n v="2"/>
    <s v="1-2 Miles"/>
    <x v="2"/>
    <x v="23"/>
    <x v="0"/>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2"/>
    <x v="0"/>
  </r>
  <r>
    <n v="20339"/>
    <x v="0"/>
    <x v="0"/>
    <n v="130000"/>
    <n v="1"/>
    <x v="0"/>
    <s v="Management"/>
    <s v="Yes"/>
    <n v="4"/>
    <s v="2-5 Miles"/>
    <x v="2"/>
    <x v="20"/>
    <x v="0"/>
    <x v="1"/>
  </r>
  <r>
    <n v="25405"/>
    <x v="0"/>
    <x v="1"/>
    <n v="70000"/>
    <n v="2"/>
    <x v="0"/>
    <s v="Skilled Manual"/>
    <s v="Yes"/>
    <n v="1"/>
    <s v="2-5 Miles"/>
    <x v="2"/>
    <x v="13"/>
    <x v="0"/>
    <x v="1"/>
  </r>
  <r>
    <n v="15940"/>
    <x v="0"/>
    <x v="1"/>
    <n v="100000"/>
    <n v="4"/>
    <x v="1"/>
    <s v="Professional"/>
    <s v="Yes"/>
    <n v="4"/>
    <s v="0-1 Miles"/>
    <x v="2"/>
    <x v="8"/>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2"/>
    <x v="0"/>
  </r>
  <r>
    <n v="24357"/>
    <x v="0"/>
    <x v="1"/>
    <n v="80000"/>
    <n v="3"/>
    <x v="0"/>
    <s v="Professional"/>
    <s v="Yes"/>
    <n v="1"/>
    <s v="2-5 Miles"/>
    <x v="2"/>
    <x v="28"/>
    <x v="0"/>
    <x v="1"/>
  </r>
  <r>
    <n v="18613"/>
    <x v="1"/>
    <x v="1"/>
    <n v="70000"/>
    <n v="0"/>
    <x v="0"/>
    <s v="Professional"/>
    <s v="No"/>
    <n v="1"/>
    <s v="2-5 Miles"/>
    <x v="2"/>
    <x v="34"/>
    <x v="0"/>
    <x v="1"/>
  </r>
  <r>
    <n v="12207"/>
    <x v="1"/>
    <x v="1"/>
    <n v="80000"/>
    <n v="4"/>
    <x v="0"/>
    <s v="Management"/>
    <s v="Yes"/>
    <n v="0"/>
    <s v="5-10 Miles"/>
    <x v="2"/>
    <x v="29"/>
    <x v="1"/>
    <x v="1"/>
  </r>
  <r>
    <n v="18052"/>
    <x v="0"/>
    <x v="0"/>
    <n v="60000"/>
    <n v="1"/>
    <x v="1"/>
    <s v="Skilled Manual"/>
    <s v="Yes"/>
    <n v="1"/>
    <s v="0-1 Miles"/>
    <x v="2"/>
    <x v="12"/>
    <x v="0"/>
    <x v="1"/>
  </r>
  <r>
    <n v="13353"/>
    <x v="1"/>
    <x v="0"/>
    <n v="60000"/>
    <n v="4"/>
    <x v="4"/>
    <s v="Management"/>
    <s v="Yes"/>
    <n v="2"/>
    <s v="More than 10+ Miles"/>
    <x v="2"/>
    <x v="33"/>
    <x v="1"/>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8"/>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1"/>
    <x v="0"/>
  </r>
  <r>
    <n v="27638"/>
    <x v="1"/>
    <x v="1"/>
    <n v="100000"/>
    <n v="1"/>
    <x v="1"/>
    <s v="Professional"/>
    <s v="No"/>
    <n v="3"/>
    <s v="1-2 Miles"/>
    <x v="2"/>
    <x v="20"/>
    <x v="0"/>
    <x v="0"/>
  </r>
  <r>
    <n v="18976"/>
    <x v="1"/>
    <x v="1"/>
    <n v="40000"/>
    <n v="4"/>
    <x v="2"/>
    <s v="Professional"/>
    <s v="Yes"/>
    <n v="2"/>
    <s v="More than 10+ Miles"/>
    <x v="2"/>
    <x v="24"/>
    <x v="1"/>
    <x v="1"/>
  </r>
  <r>
    <n v="19413"/>
    <x v="1"/>
    <x v="1"/>
    <n v="60000"/>
    <n v="3"/>
    <x v="0"/>
    <s v="Professional"/>
    <s v="No"/>
    <n v="1"/>
    <s v="0-1 Miles"/>
    <x v="2"/>
    <x v="15"/>
    <x v="0"/>
    <x v="1"/>
  </r>
  <r>
    <n v="13283"/>
    <x v="0"/>
    <x v="1"/>
    <n v="80000"/>
    <n v="3"/>
    <x v="1"/>
    <s v="Professional"/>
    <s v="No"/>
    <n v="2"/>
    <s v="0-1 Miles"/>
    <x v="2"/>
    <x v="38"/>
    <x v="0"/>
    <x v="1"/>
  </r>
  <r>
    <n v="17471"/>
    <x v="1"/>
    <x v="0"/>
    <n v="80000"/>
    <n v="4"/>
    <x v="4"/>
    <s v="Management"/>
    <s v="Yes"/>
    <n v="2"/>
    <s v="5-10 Miles"/>
    <x v="2"/>
    <x v="41"/>
    <x v="1"/>
    <x v="0"/>
  </r>
  <r>
    <n v="16791"/>
    <x v="1"/>
    <x v="1"/>
    <n v="60000"/>
    <n v="5"/>
    <x v="0"/>
    <s v="Management"/>
    <s v="Yes"/>
    <n v="3"/>
    <s v="More than 10+ Miles"/>
    <x v="2"/>
    <x v="14"/>
    <x v="1"/>
    <x v="1"/>
  </r>
  <r>
    <n v="15382"/>
    <x v="0"/>
    <x v="0"/>
    <n v="110000"/>
    <n v="1"/>
    <x v="0"/>
    <s v="Management"/>
    <s v="Yes"/>
    <n v="2"/>
    <s v="1-2 Miles"/>
    <x v="2"/>
    <x v="20"/>
    <x v="0"/>
    <x v="0"/>
  </r>
  <r>
    <n v="11641"/>
    <x v="0"/>
    <x v="1"/>
    <n v="50000"/>
    <n v="1"/>
    <x v="0"/>
    <s v="Skilled Manual"/>
    <s v="Yes"/>
    <n v="0"/>
    <s v="0-1 Miles"/>
    <x v="2"/>
    <x v="4"/>
    <x v="0"/>
    <x v="0"/>
  </r>
  <r>
    <n v="11935"/>
    <x v="1"/>
    <x v="0"/>
    <n v="30000"/>
    <n v="0"/>
    <x v="1"/>
    <s v="Skilled Manual"/>
    <s v="Yes"/>
    <n v="1"/>
    <s v="5-10 Miles"/>
    <x v="2"/>
    <x v="26"/>
    <x v="2"/>
    <x v="0"/>
  </r>
  <r>
    <n v="13233"/>
    <x v="0"/>
    <x v="1"/>
    <n v="60000"/>
    <n v="2"/>
    <x v="1"/>
    <s v="Professional"/>
    <s v="Yes"/>
    <n v="1"/>
    <s v="More than 10+ Miles"/>
    <x v="2"/>
    <x v="42"/>
    <x v="1"/>
    <x v="1"/>
  </r>
  <r>
    <n v="25909"/>
    <x v="0"/>
    <x v="1"/>
    <n v="60000"/>
    <n v="0"/>
    <x v="1"/>
    <s v="Skilled Manual"/>
    <s v="Yes"/>
    <n v="1"/>
    <s v="5-10 Miles"/>
    <x v="2"/>
    <x v="40"/>
    <x v="2"/>
    <x v="1"/>
  </r>
  <r>
    <n v="14092"/>
    <x v="1"/>
    <x v="1"/>
    <n v="30000"/>
    <n v="0"/>
    <x v="3"/>
    <s v="Clerical"/>
    <s v="Yes"/>
    <n v="2"/>
    <s v="5-10 Miles"/>
    <x v="2"/>
    <x v="26"/>
    <x v="2"/>
    <x v="0"/>
  </r>
  <r>
    <n v="29143"/>
    <x v="1"/>
    <x v="0"/>
    <n v="60000"/>
    <n v="1"/>
    <x v="0"/>
    <s v="Professional"/>
    <s v="No"/>
    <n v="1"/>
    <s v="0-1 Miles"/>
    <x v="2"/>
    <x v="20"/>
    <x v="0"/>
    <x v="1"/>
  </r>
  <r>
    <n v="24941"/>
    <x v="0"/>
    <x v="1"/>
    <n v="60000"/>
    <n v="3"/>
    <x v="0"/>
    <s v="Management"/>
    <s v="Yes"/>
    <n v="2"/>
    <s v="More than 10+ Miles"/>
    <x v="2"/>
    <x v="29"/>
    <x v="1"/>
    <x v="0"/>
  </r>
  <r>
    <n v="24637"/>
    <x v="0"/>
    <x v="1"/>
    <n v="40000"/>
    <n v="4"/>
    <x v="2"/>
    <s v="Professional"/>
    <s v="Yes"/>
    <n v="2"/>
    <s v="More than 10+ Miles"/>
    <x v="2"/>
    <x v="46"/>
    <x v="1"/>
    <x v="0"/>
  </r>
  <r>
    <n v="23893"/>
    <x v="0"/>
    <x v="1"/>
    <n v="50000"/>
    <n v="3"/>
    <x v="0"/>
    <s v="Skilled Manual"/>
    <s v="Yes"/>
    <n v="3"/>
    <s v="More than 10+ Miles"/>
    <x v="2"/>
    <x v="3"/>
    <x v="0"/>
    <x v="0"/>
  </r>
  <r>
    <n v="13907"/>
    <x v="1"/>
    <x v="0"/>
    <n v="80000"/>
    <n v="3"/>
    <x v="0"/>
    <s v="Skilled Manual"/>
    <s v="Yes"/>
    <n v="1"/>
    <s v="0-1 Miles"/>
    <x v="2"/>
    <x v="3"/>
    <x v="0"/>
    <x v="1"/>
  </r>
  <r>
    <n v="14900"/>
    <x v="0"/>
    <x v="0"/>
    <n v="40000"/>
    <n v="1"/>
    <x v="1"/>
    <s v="Clerical"/>
    <s v="Yes"/>
    <n v="1"/>
    <s v="1-2 Miles"/>
    <x v="2"/>
    <x v="38"/>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2"/>
    <x v="0"/>
  </r>
  <r>
    <n v="25898"/>
    <x v="0"/>
    <x v="0"/>
    <n v="70000"/>
    <n v="2"/>
    <x v="2"/>
    <s v="Professional"/>
    <s v="Yes"/>
    <n v="2"/>
    <s v="2-5 Miles"/>
    <x v="2"/>
    <x v="39"/>
    <x v="0"/>
    <x v="0"/>
  </r>
  <r>
    <n v="24397"/>
    <x v="1"/>
    <x v="1"/>
    <n v="120000"/>
    <n v="2"/>
    <x v="0"/>
    <s v="Management"/>
    <s v="No"/>
    <n v="4"/>
    <s v="1-2 Miles"/>
    <x v="2"/>
    <x v="8"/>
    <x v="0"/>
    <x v="0"/>
  </r>
  <r>
    <n v="19758"/>
    <x v="1"/>
    <x v="1"/>
    <n v="60000"/>
    <n v="0"/>
    <x v="1"/>
    <s v="Skilled Manual"/>
    <s v="No"/>
    <n v="2"/>
    <s v="1-2 Miles"/>
    <x v="2"/>
    <x v="19"/>
    <x v="2"/>
    <x v="0"/>
  </r>
  <r>
    <n v="15529"/>
    <x v="0"/>
    <x v="1"/>
    <n v="60000"/>
    <n v="4"/>
    <x v="0"/>
    <s v="Professional"/>
    <s v="Yes"/>
    <n v="2"/>
    <s v="2-5 Miles"/>
    <x v="2"/>
    <x v="1"/>
    <x v="0"/>
    <x v="1"/>
  </r>
  <r>
    <n v="19884"/>
    <x v="0"/>
    <x v="1"/>
    <n v="60000"/>
    <n v="2"/>
    <x v="2"/>
    <s v="Professional"/>
    <s v="Yes"/>
    <n v="2"/>
    <s v="2-5 Miles"/>
    <x v="2"/>
    <x v="10"/>
    <x v="1"/>
    <x v="1"/>
  </r>
  <r>
    <n v="18674"/>
    <x v="1"/>
    <x v="0"/>
    <n v="80000"/>
    <n v="4"/>
    <x v="4"/>
    <s v="Skilled Manual"/>
    <s v="No"/>
    <n v="0"/>
    <s v="0-1 Miles"/>
    <x v="2"/>
    <x v="28"/>
    <x v="0"/>
    <x v="0"/>
  </r>
  <r>
    <n v="13453"/>
    <x v="0"/>
    <x v="0"/>
    <n v="130000"/>
    <n v="3"/>
    <x v="0"/>
    <s v="Management"/>
    <s v="Yes"/>
    <n v="3"/>
    <s v="0-1 Miles"/>
    <x v="2"/>
    <x v="12"/>
    <x v="0"/>
    <x v="1"/>
  </r>
  <r>
    <n v="14063"/>
    <x v="1"/>
    <x v="0"/>
    <n v="70000"/>
    <n v="0"/>
    <x v="0"/>
    <s v="Professional"/>
    <s v="No"/>
    <n v="1"/>
    <s v="0-1 Miles"/>
    <x v="1"/>
    <x v="0"/>
    <x v="0"/>
    <x v="1"/>
  </r>
  <r>
    <n v="27393"/>
    <x v="0"/>
    <x v="0"/>
    <n v="50000"/>
    <n v="4"/>
    <x v="0"/>
    <s v="Management"/>
    <s v="Yes"/>
    <n v="2"/>
    <s v="More than 10+ Miles"/>
    <x v="2"/>
    <x v="18"/>
    <x v="1"/>
    <x v="0"/>
  </r>
  <r>
    <n v="14417"/>
    <x v="1"/>
    <x v="1"/>
    <n v="60000"/>
    <n v="3"/>
    <x v="2"/>
    <s v="Professional"/>
    <s v="Yes"/>
    <n v="2"/>
    <s v="More than 10+ Miles"/>
    <x v="2"/>
    <x v="9"/>
    <x v="0"/>
    <x v="1"/>
  </r>
  <r>
    <n v="17533"/>
    <x v="0"/>
    <x v="1"/>
    <n v="40000"/>
    <n v="3"/>
    <x v="1"/>
    <s v="Professional"/>
    <s v="No"/>
    <n v="2"/>
    <s v="5-10 Miles"/>
    <x v="2"/>
    <x v="49"/>
    <x v="1"/>
    <x v="1"/>
  </r>
  <r>
    <n v="18580"/>
    <x v="0"/>
    <x v="0"/>
    <n v="60000"/>
    <n v="2"/>
    <x v="4"/>
    <s v="Professional"/>
    <s v="Yes"/>
    <n v="0"/>
    <s v="2-5 Miles"/>
    <x v="2"/>
    <x v="8"/>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3"/>
    <x v="0"/>
    <x v="0"/>
  </r>
  <r>
    <n v="23200"/>
    <x v="0"/>
    <x v="0"/>
    <n v="50000"/>
    <n v="3"/>
    <x v="0"/>
    <s v="Skilled Manual"/>
    <s v="Yes"/>
    <n v="2"/>
    <s v="0-1 Miles"/>
    <x v="2"/>
    <x v="3"/>
    <x v="0"/>
    <x v="0"/>
  </r>
  <r>
    <n v="15895"/>
    <x v="1"/>
    <x v="0"/>
    <n v="60000"/>
    <n v="2"/>
    <x v="0"/>
    <s v="Management"/>
    <s v="Yes"/>
    <n v="0"/>
    <s v="More than 10+ Miles"/>
    <x v="2"/>
    <x v="7"/>
    <x v="1"/>
    <x v="0"/>
  </r>
  <r>
    <n v="18577"/>
    <x v="0"/>
    <x v="0"/>
    <n v="60000"/>
    <n v="0"/>
    <x v="4"/>
    <s v="Professional"/>
    <s v="Yes"/>
    <n v="0"/>
    <s v="0-1 Miles"/>
    <x v="2"/>
    <x v="8"/>
    <x v="0"/>
    <x v="0"/>
  </r>
  <r>
    <n v="27218"/>
    <x v="0"/>
    <x v="0"/>
    <n v="20000"/>
    <n v="2"/>
    <x v="3"/>
    <s v="Clerical"/>
    <s v="No"/>
    <n v="0"/>
    <s v="0-1 Miles"/>
    <x v="2"/>
    <x v="28"/>
    <x v="0"/>
    <x v="0"/>
  </r>
  <r>
    <n v="18560"/>
    <x v="0"/>
    <x v="0"/>
    <n v="70000"/>
    <n v="2"/>
    <x v="4"/>
    <s v="Professional"/>
    <s v="Yes"/>
    <n v="0"/>
    <s v="2-5 Miles"/>
    <x v="2"/>
    <x v="17"/>
    <x v="0"/>
    <x v="1"/>
  </r>
  <r>
    <n v="25006"/>
    <x v="1"/>
    <x v="0"/>
    <n v="30000"/>
    <n v="0"/>
    <x v="1"/>
    <s v="Skilled Manual"/>
    <s v="Yes"/>
    <n v="1"/>
    <s v="5-10 Miles"/>
    <x v="2"/>
    <x v="26"/>
    <x v="2"/>
    <x v="0"/>
  </r>
  <r>
    <n v="17369"/>
    <x v="1"/>
    <x v="1"/>
    <n v="30000"/>
    <n v="0"/>
    <x v="1"/>
    <s v="Skilled Manual"/>
    <s v="Yes"/>
    <n v="1"/>
    <s v="5-10 Miles"/>
    <x v="2"/>
    <x v="40"/>
    <x v="2"/>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28"/>
    <x v="0"/>
    <x v="1"/>
  </r>
  <r>
    <n v="23378"/>
    <x v="0"/>
    <x v="1"/>
    <n v="70000"/>
    <n v="1"/>
    <x v="1"/>
    <s v="Skilled Manual"/>
    <s v="Yes"/>
    <n v="1"/>
    <s v="2-5 Miles"/>
    <x v="2"/>
    <x v="20"/>
    <x v="0"/>
    <x v="1"/>
  </r>
  <r>
    <n v="26452"/>
    <x v="1"/>
    <x v="1"/>
    <n v="50000"/>
    <n v="3"/>
    <x v="4"/>
    <s v="Management"/>
    <s v="Yes"/>
    <n v="2"/>
    <s v="More than 10+ Miles"/>
    <x v="2"/>
    <x v="45"/>
    <x v="1"/>
    <x v="0"/>
  </r>
  <r>
    <n v="20370"/>
    <x v="0"/>
    <x v="1"/>
    <n v="70000"/>
    <n v="3"/>
    <x v="3"/>
    <s v="Skilled Manual"/>
    <s v="Yes"/>
    <n v="2"/>
    <s v="5-10 Miles"/>
    <x v="2"/>
    <x v="31"/>
    <x v="0"/>
    <x v="0"/>
  </r>
  <r>
    <n v="20528"/>
    <x v="0"/>
    <x v="1"/>
    <n v="40000"/>
    <n v="2"/>
    <x v="3"/>
    <s v="Skilled Manual"/>
    <s v="Yes"/>
    <n v="2"/>
    <s v="2-5 Miles"/>
    <x v="2"/>
    <x v="10"/>
    <x v="1"/>
    <x v="0"/>
  </r>
  <r>
    <n v="23549"/>
    <x v="1"/>
    <x v="1"/>
    <n v="30000"/>
    <n v="0"/>
    <x v="2"/>
    <s v="Skilled Manual"/>
    <s v="Yes"/>
    <n v="2"/>
    <s v="5-10 Miles"/>
    <x v="2"/>
    <x v="25"/>
    <x v="2"/>
    <x v="0"/>
  </r>
  <r>
    <n v="21751"/>
    <x v="0"/>
    <x v="1"/>
    <n v="60000"/>
    <n v="3"/>
    <x v="4"/>
    <s v="Management"/>
    <s v="Yes"/>
    <n v="2"/>
    <s v="1-2 Miles"/>
    <x v="2"/>
    <x v="18"/>
    <x v="1"/>
    <x v="0"/>
  </r>
  <r>
    <n v="21266"/>
    <x v="1"/>
    <x v="0"/>
    <n v="80000"/>
    <n v="0"/>
    <x v="0"/>
    <s v="Management"/>
    <s v="Yes"/>
    <n v="1"/>
    <s v="1-2 Miles"/>
    <x v="2"/>
    <x v="17"/>
    <x v="0"/>
    <x v="1"/>
  </r>
  <r>
    <n v="13388"/>
    <x v="1"/>
    <x v="1"/>
    <n v="60000"/>
    <n v="2"/>
    <x v="1"/>
    <s v="Professional"/>
    <s v="Yes"/>
    <n v="1"/>
    <s v="More than 10+ Miles"/>
    <x v="2"/>
    <x v="16"/>
    <x v="1"/>
    <x v="0"/>
  </r>
  <r>
    <n v="18752"/>
    <x v="1"/>
    <x v="0"/>
    <n v="40000"/>
    <n v="0"/>
    <x v="2"/>
    <s v="Skilled Manual"/>
    <s v="Yes"/>
    <n v="1"/>
    <s v="5-10 Miles"/>
    <x v="2"/>
    <x v="23"/>
    <x v="0"/>
    <x v="0"/>
  </r>
  <r>
    <n v="16917"/>
    <x v="0"/>
    <x v="1"/>
    <n v="120000"/>
    <n v="1"/>
    <x v="0"/>
    <s v="Management"/>
    <s v="Yes"/>
    <n v="4"/>
    <s v="0-1 Miles"/>
    <x v="2"/>
    <x v="13"/>
    <x v="0"/>
    <x v="0"/>
  </r>
  <r>
    <n v="15313"/>
    <x v="0"/>
    <x v="1"/>
    <n v="60000"/>
    <n v="4"/>
    <x v="0"/>
    <s v="Management"/>
    <s v="Yes"/>
    <n v="2"/>
    <s v="2-5 Miles"/>
    <x v="2"/>
    <x v="14"/>
    <x v="1"/>
    <x v="0"/>
  </r>
  <r>
    <n v="25329"/>
    <x v="1"/>
    <x v="0"/>
    <n v="40000"/>
    <n v="3"/>
    <x v="1"/>
    <s v="Clerical"/>
    <s v="No"/>
    <n v="2"/>
    <s v="0-1 Miles"/>
    <x v="2"/>
    <x v="21"/>
    <x v="0"/>
    <x v="0"/>
  </r>
  <r>
    <n v="20380"/>
    <x v="0"/>
    <x v="0"/>
    <n v="60000"/>
    <n v="3"/>
    <x v="4"/>
    <s v="Management"/>
    <s v="Yes"/>
    <n v="2"/>
    <s v="More than 10+ Miles"/>
    <x v="2"/>
    <x v="45"/>
    <x v="1"/>
    <x v="0"/>
  </r>
  <r>
    <n v="23089"/>
    <x v="0"/>
    <x v="1"/>
    <n v="40000"/>
    <n v="0"/>
    <x v="1"/>
    <s v="Skilled Manual"/>
    <s v="Yes"/>
    <n v="1"/>
    <s v="5-10 Miles"/>
    <x v="2"/>
    <x v="26"/>
    <x v="2"/>
    <x v="0"/>
  </r>
  <r>
    <n v="13749"/>
    <x v="0"/>
    <x v="1"/>
    <n v="80000"/>
    <n v="4"/>
    <x v="4"/>
    <s v="Skilled Manual"/>
    <s v="Yes"/>
    <n v="0"/>
    <s v="1-2 Miles"/>
    <x v="2"/>
    <x v="15"/>
    <x v="0"/>
    <x v="0"/>
  </r>
  <r>
    <n v="24943"/>
    <x v="0"/>
    <x v="1"/>
    <n v="60000"/>
    <n v="3"/>
    <x v="0"/>
    <s v="Management"/>
    <s v="Yes"/>
    <n v="2"/>
    <s v="More than 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8"/>
    <x v="0"/>
    <x v="0"/>
  </r>
  <r>
    <n v="16871"/>
    <x v="0"/>
    <x v="0"/>
    <n v="90000"/>
    <n v="2"/>
    <x v="2"/>
    <s v="Professional"/>
    <s v="Yes"/>
    <n v="1"/>
    <s v="More than 10+ Miles"/>
    <x v="2"/>
    <x v="36"/>
    <x v="0"/>
    <x v="1"/>
  </r>
  <r>
    <n v="12100"/>
    <x v="1"/>
    <x v="1"/>
    <n v="60000"/>
    <n v="2"/>
    <x v="0"/>
    <s v="Management"/>
    <s v="Yes"/>
    <n v="0"/>
    <s v="More than 10+ Miles"/>
    <x v="2"/>
    <x v="42"/>
    <x v="1"/>
    <x v="0"/>
  </r>
  <r>
    <n v="23158"/>
    <x v="0"/>
    <x v="0"/>
    <n v="60000"/>
    <n v="1"/>
    <x v="4"/>
    <s v="Professional"/>
    <s v="No"/>
    <n v="0"/>
    <s v="0-1 Miles"/>
    <x v="2"/>
    <x v="11"/>
    <x v="0"/>
    <x v="1"/>
  </r>
  <r>
    <n v="18545"/>
    <x v="0"/>
    <x v="1"/>
    <n v="40000"/>
    <n v="4"/>
    <x v="2"/>
    <s v="Professional"/>
    <s v="No"/>
    <n v="2"/>
    <s v="More than 10+ Miles"/>
    <x v="2"/>
    <x v="33"/>
    <x v="1"/>
    <x v="1"/>
  </r>
  <r>
    <n v="18391"/>
    <x v="1"/>
    <x v="0"/>
    <n v="80000"/>
    <n v="5"/>
    <x v="1"/>
    <s v="Professional"/>
    <s v="Yes"/>
    <n v="2"/>
    <s v="5-10 Miles"/>
    <x v="2"/>
    <x v="20"/>
    <x v="0"/>
    <x v="0"/>
  </r>
  <r>
    <n v="19812"/>
    <x v="1"/>
    <x v="0"/>
    <n v="70000"/>
    <n v="2"/>
    <x v="1"/>
    <s v="Professional"/>
    <s v="Yes"/>
    <n v="0"/>
    <s v="5-10 Miles"/>
    <x v="2"/>
    <x v="38"/>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1"/>
    <x v="1"/>
  </r>
  <r>
    <n v="24398"/>
    <x v="0"/>
    <x v="1"/>
    <n v="130000"/>
    <n v="1"/>
    <x v="4"/>
    <s v="Management"/>
    <s v="Yes"/>
    <n v="4"/>
    <s v="0-1 Miles"/>
    <x v="2"/>
    <x v="3"/>
    <x v="0"/>
    <x v="0"/>
  </r>
  <r>
    <n v="19002"/>
    <x v="0"/>
    <x v="0"/>
    <n v="60000"/>
    <n v="2"/>
    <x v="1"/>
    <s v="Professional"/>
    <s v="Yes"/>
    <n v="1"/>
    <s v="2-5 Miles"/>
    <x v="2"/>
    <x v="42"/>
    <x v="1"/>
    <x v="1"/>
  </r>
  <r>
    <n v="28609"/>
    <x v="0"/>
    <x v="1"/>
    <n v="30000"/>
    <n v="2"/>
    <x v="2"/>
    <s v="Skilled Manual"/>
    <s v="No"/>
    <n v="2"/>
    <s v="0-1 Miles"/>
    <x v="2"/>
    <x v="38"/>
    <x v="0"/>
    <x v="0"/>
  </r>
  <r>
    <n v="29231"/>
    <x v="1"/>
    <x v="1"/>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40"/>
    <x v="2"/>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More than 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0"/>
    <x v="0"/>
    <x v="0"/>
  </r>
  <r>
    <n v="22994"/>
    <x v="0"/>
    <x v="0"/>
    <n v="80000"/>
    <n v="0"/>
    <x v="0"/>
    <s v="Management"/>
    <s v="Yes"/>
    <n v="1"/>
    <s v="1-2 Miles"/>
    <x v="2"/>
    <x v="17"/>
    <x v="0"/>
    <x v="1"/>
  </r>
  <r>
    <n v="22983"/>
    <x v="1"/>
    <x v="0"/>
    <n v="30000"/>
    <n v="0"/>
    <x v="3"/>
    <s v="Clerical"/>
    <s v="Yes"/>
    <n v="2"/>
    <s v="5-10 Miles"/>
    <x v="2"/>
    <x v="40"/>
    <x v="2"/>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0"/>
    <x v="0"/>
    <x v="1"/>
  </r>
  <r>
    <n v="25347"/>
    <x v="1"/>
    <x v="0"/>
    <n v="20000"/>
    <n v="3"/>
    <x v="3"/>
    <s v="Clerical"/>
    <s v="No"/>
    <n v="2"/>
    <s v="0-1 Miles"/>
    <x v="2"/>
    <x v="38"/>
    <x v="0"/>
    <x v="0"/>
  </r>
  <r>
    <n v="15814"/>
    <x v="1"/>
    <x v="0"/>
    <n v="40000"/>
    <n v="0"/>
    <x v="2"/>
    <s v="Skilled Manual"/>
    <s v="Yes"/>
    <n v="1"/>
    <s v="5-10 Miles"/>
    <x v="2"/>
    <x v="25"/>
    <x v="2"/>
    <x v="0"/>
  </r>
  <r>
    <n v="11259"/>
    <x v="0"/>
    <x v="0"/>
    <n v="100000"/>
    <n v="4"/>
    <x v="1"/>
    <s v="Professional"/>
    <s v="Yes"/>
    <n v="4"/>
    <s v="2-5 Miles"/>
    <x v="2"/>
    <x v="3"/>
    <x v="0"/>
    <x v="1"/>
  </r>
  <r>
    <n v="11200"/>
    <x v="0"/>
    <x v="1"/>
    <n v="70000"/>
    <n v="4"/>
    <x v="0"/>
    <s v="Management"/>
    <s v="Yes"/>
    <n v="1"/>
    <s v="1-2 Miles"/>
    <x v="2"/>
    <x v="7"/>
    <x v="1"/>
    <x v="0"/>
  </r>
  <r>
    <n v="25101"/>
    <x v="0"/>
    <x v="1"/>
    <n v="60000"/>
    <n v="5"/>
    <x v="0"/>
    <s v="Professional"/>
    <s v="Yes"/>
    <n v="1"/>
    <s v="2-5 Miles"/>
    <x v="2"/>
    <x v="15"/>
    <x v="0"/>
    <x v="0"/>
  </r>
  <r>
    <n v="21801"/>
    <x v="0"/>
    <x v="0"/>
    <n v="70000"/>
    <n v="4"/>
    <x v="1"/>
    <s v="Professional"/>
    <s v="Yes"/>
    <n v="1"/>
    <s v="1-2 Miles"/>
    <x v="2"/>
    <x v="10"/>
    <x v="1"/>
    <x v="0"/>
  </r>
  <r>
    <n v="25943"/>
    <x v="1"/>
    <x v="0"/>
    <n v="70000"/>
    <n v="0"/>
    <x v="1"/>
    <s v="Skilled Manual"/>
    <s v="No"/>
    <n v="2"/>
    <s v="0-1 Miles"/>
    <x v="2"/>
    <x v="40"/>
    <x v="2"/>
    <x v="1"/>
  </r>
  <r>
    <n v="22127"/>
    <x v="0"/>
    <x v="1"/>
    <n v="60000"/>
    <n v="3"/>
    <x v="4"/>
    <s v="Management"/>
    <s v="Yes"/>
    <n v="2"/>
    <s v="1-2 Miles"/>
    <x v="2"/>
    <x v="41"/>
    <x v="1"/>
    <x v="0"/>
  </r>
  <r>
    <n v="20414"/>
    <x v="0"/>
    <x v="0"/>
    <n v="60000"/>
    <n v="0"/>
    <x v="1"/>
    <s v="Skilled Manual"/>
    <s v="Yes"/>
    <n v="2"/>
    <s v="5-10 Miles"/>
    <x v="2"/>
    <x v="19"/>
    <x v="2"/>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5"/>
    <x v="2"/>
    <x v="0"/>
  </r>
  <r>
    <n v="27643"/>
    <x v="1"/>
    <x v="1"/>
    <n v="70000"/>
    <n v="5"/>
    <x v="1"/>
    <s v="Professional"/>
    <s v="Yes"/>
    <n v="3"/>
    <s v="2-5 Miles"/>
    <x v="2"/>
    <x v="20"/>
    <x v="0"/>
    <x v="0"/>
  </r>
  <r>
    <n v="13754"/>
    <x v="1"/>
    <x v="0"/>
    <n v="80000"/>
    <n v="4"/>
    <x v="4"/>
    <s v="Skilled Manual"/>
    <s v="Yes"/>
    <n v="0"/>
    <s v="1-2 Miles"/>
    <x v="2"/>
    <x v="2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8"/>
    <x v="0"/>
    <x v="0"/>
  </r>
  <r>
    <n v="29237"/>
    <x v="1"/>
    <x v="0"/>
    <n v="120000"/>
    <n v="4"/>
    <x v="1"/>
    <s v="Professional"/>
    <s v="Yes"/>
    <n v="3"/>
    <s v="5-10 Miles"/>
    <x v="2"/>
    <x v="1"/>
    <x v="0"/>
    <x v="1"/>
  </r>
  <r>
    <n v="15272"/>
    <x v="1"/>
    <x v="1"/>
    <n v="40000"/>
    <n v="0"/>
    <x v="2"/>
    <s v="Skilled Manual"/>
    <s v="No"/>
    <n v="2"/>
    <s v="1-2 Miles"/>
    <x v="2"/>
    <x v="25"/>
    <x v="2"/>
    <x v="0"/>
  </r>
  <r>
    <n v="18949"/>
    <x v="1"/>
    <x v="1"/>
    <n v="70000"/>
    <n v="0"/>
    <x v="4"/>
    <s v="Management"/>
    <s v="Yes"/>
    <n v="2"/>
    <s v="5-10 Miles"/>
    <x v="2"/>
    <x v="50"/>
    <x v="1"/>
    <x v="1"/>
  </r>
  <r>
    <n v="14507"/>
    <x v="0"/>
    <x v="1"/>
    <n v="100000"/>
    <n v="2"/>
    <x v="4"/>
    <s v="Management"/>
    <s v="Yes"/>
    <n v="3"/>
    <s v="1-2 Miles"/>
    <x v="2"/>
    <x v="27"/>
    <x v="1"/>
    <x v="0"/>
  </r>
  <r>
    <n v="25886"/>
    <x v="0"/>
    <x v="0"/>
    <n v="60000"/>
    <n v="2"/>
    <x v="1"/>
    <s v="Professional"/>
    <s v="Yes"/>
    <n v="2"/>
    <s v="2-5 Miles"/>
    <x v="2"/>
    <x v="16"/>
    <x v="1"/>
    <x v="1"/>
  </r>
  <r>
    <n v="21441"/>
    <x v="0"/>
    <x v="1"/>
    <n v="50000"/>
    <n v="4"/>
    <x v="0"/>
    <s v="Management"/>
    <s v="Yes"/>
    <n v="2"/>
    <s v="More than 10+ Miles"/>
    <x v="2"/>
    <x v="46"/>
    <x v="1"/>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More than 10+ Miles"/>
    <x v="2"/>
    <x v="3"/>
    <x v="0"/>
    <x v="0"/>
  </r>
  <r>
    <n v="16217"/>
    <x v="1"/>
    <x v="0"/>
    <n v="60000"/>
    <n v="0"/>
    <x v="4"/>
    <s v="Skilled Manual"/>
    <s v="Yes"/>
    <n v="0"/>
    <s v="0-1 Miles"/>
    <x v="2"/>
    <x v="32"/>
    <x v="0"/>
    <x v="0"/>
  </r>
  <r>
    <n v="16247"/>
    <x v="1"/>
    <x v="0"/>
    <n v="60000"/>
    <n v="4"/>
    <x v="4"/>
    <s v="Skilled Manual"/>
    <s v="No"/>
    <n v="0"/>
    <s v="1-2 Miles"/>
    <x v="2"/>
    <x v="15"/>
    <x v="0"/>
    <x v="0"/>
  </r>
  <r>
    <n v="22010"/>
    <x v="1"/>
    <x v="1"/>
    <n v="40000"/>
    <n v="0"/>
    <x v="2"/>
    <s v="Skilled Manual"/>
    <s v="Yes"/>
    <n v="2"/>
    <s v="5-10 Miles"/>
    <x v="2"/>
    <x v="23"/>
    <x v="0"/>
    <x v="0"/>
  </r>
  <r>
    <n v="25872"/>
    <x v="1"/>
    <x v="0"/>
    <n v="70000"/>
    <n v="2"/>
    <x v="0"/>
    <s v="Management"/>
    <s v="No"/>
    <n v="1"/>
    <s v="2-5 Miles"/>
    <x v="2"/>
    <x v="7"/>
    <x v="1"/>
    <x v="1"/>
  </r>
  <r>
    <n v="19164"/>
    <x v="1"/>
    <x v="0"/>
    <n v="70000"/>
    <n v="0"/>
    <x v="0"/>
    <s v="Professional"/>
    <s v="No"/>
    <n v="1"/>
    <s v="2-5 Miles"/>
    <x v="2"/>
    <x v="13"/>
    <x v="0"/>
    <x v="1"/>
  </r>
  <r>
    <n v="18435"/>
    <x v="1"/>
    <x v="0"/>
    <n v="70000"/>
    <n v="5"/>
    <x v="4"/>
    <s v="Management"/>
    <s v="Yes"/>
    <n v="2"/>
    <s v="More than 10+ Miles"/>
    <x v="2"/>
    <x v="41"/>
    <x v="1"/>
    <x v="1"/>
  </r>
  <r>
    <n v="14284"/>
    <x v="1"/>
    <x v="1"/>
    <n v="60000"/>
    <n v="0"/>
    <x v="1"/>
    <s v="Professional"/>
    <s v="No"/>
    <n v="2"/>
    <s v="1-2 Miles"/>
    <x v="2"/>
    <x v="21"/>
    <x v="0"/>
    <x v="1"/>
  </r>
  <r>
    <n v="11287"/>
    <x v="0"/>
    <x v="1"/>
    <n v="70000"/>
    <n v="5"/>
    <x v="1"/>
    <s v="Professional"/>
    <s v="No"/>
    <n v="3"/>
    <s v="5-10 Miles"/>
    <x v="2"/>
    <x v="12"/>
    <x v="0"/>
    <x v="0"/>
  </r>
  <r>
    <n v="13066"/>
    <x v="1"/>
    <x v="1"/>
    <n v="30000"/>
    <n v="0"/>
    <x v="2"/>
    <s v="Skilled Manual"/>
    <s v="No"/>
    <n v="2"/>
    <s v="1-2 Miles"/>
    <x v="2"/>
    <x v="23"/>
    <x v="0"/>
    <x v="1"/>
  </r>
  <r>
    <n v="29106"/>
    <x v="1"/>
    <x v="1"/>
    <n v="40000"/>
    <n v="0"/>
    <x v="2"/>
    <s v="Skilled Manual"/>
    <s v="No"/>
    <n v="2"/>
    <s v="1-2 Miles"/>
    <x v="2"/>
    <x v="23"/>
    <x v="0"/>
    <x v="1"/>
  </r>
  <r>
    <n v="26236"/>
    <x v="0"/>
    <x v="0"/>
    <n v="40000"/>
    <n v="3"/>
    <x v="1"/>
    <s v="Clerical"/>
    <s v="Yes"/>
    <n v="1"/>
    <s v="0-1 Miles"/>
    <x v="2"/>
    <x v="23"/>
    <x v="0"/>
    <x v="0"/>
  </r>
  <r>
    <n v="17531"/>
    <x v="0"/>
    <x v="1"/>
    <n v="60000"/>
    <n v="2"/>
    <x v="2"/>
    <s v="Professional"/>
    <s v="No"/>
    <n v="2"/>
    <s v="5-10 Miles"/>
    <x v="2"/>
    <x v="5"/>
    <x v="0"/>
    <x v="0"/>
  </r>
  <r>
    <n v="12964"/>
    <x v="0"/>
    <x v="1"/>
    <n v="70000"/>
    <n v="1"/>
    <x v="1"/>
    <s v="Skilled Manual"/>
    <s v="Yes"/>
    <n v="1"/>
    <s v="0-1 Miles"/>
    <x v="2"/>
    <x v="20"/>
    <x v="0"/>
    <x v="0"/>
  </r>
  <r>
    <n v="19133"/>
    <x v="1"/>
    <x v="1"/>
    <n v="50000"/>
    <n v="2"/>
    <x v="0"/>
    <s v="Skilled Manual"/>
    <s v="Yes"/>
    <n v="1"/>
    <s v="2-5 Miles"/>
    <x v="2"/>
    <x v="13"/>
    <x v="0"/>
    <x v="1"/>
  </r>
  <r>
    <n v="24643"/>
    <x v="1"/>
    <x v="0"/>
    <n v="60000"/>
    <n v="4"/>
    <x v="0"/>
    <s v="Management"/>
    <s v="Yes"/>
    <n v="2"/>
    <s v="More than 10+ Miles"/>
    <x v="2"/>
    <x v="18"/>
    <x v="1"/>
    <x v="0"/>
  </r>
  <r>
    <n v="21599"/>
    <x v="0"/>
    <x v="0"/>
    <n v="60000"/>
    <n v="1"/>
    <x v="4"/>
    <s v="Professional"/>
    <s v="Yes"/>
    <n v="0"/>
    <s v="2-5 Miles"/>
    <x v="2"/>
    <x v="4"/>
    <x v="0"/>
    <x v="1"/>
  </r>
  <r>
    <n v="22976"/>
    <x v="1"/>
    <x v="1"/>
    <n v="40000"/>
    <n v="0"/>
    <x v="2"/>
    <s v="Skilled Manual"/>
    <s v="No"/>
    <n v="2"/>
    <s v="0-1 Miles"/>
    <x v="2"/>
    <x v="26"/>
    <x v="2"/>
    <x v="1"/>
  </r>
  <r>
    <n v="27637"/>
    <x v="1"/>
    <x v="0"/>
    <n v="100000"/>
    <n v="1"/>
    <x v="1"/>
    <s v="Professional"/>
    <s v="No"/>
    <n v="3"/>
    <s v="1-2 Miles"/>
    <x v="2"/>
    <x v="20"/>
    <x v="0"/>
    <x v="0"/>
  </r>
  <r>
    <n v="11890"/>
    <x v="0"/>
    <x v="0"/>
    <n v="70000"/>
    <n v="5"/>
    <x v="4"/>
    <s v="Professional"/>
    <s v="Yes"/>
    <n v="1"/>
    <s v="0-1 Miles"/>
    <x v="2"/>
    <x v="15"/>
    <x v="0"/>
    <x v="0"/>
  </r>
  <r>
    <n v="28580"/>
    <x v="0"/>
    <x v="0"/>
    <n v="80000"/>
    <n v="0"/>
    <x v="4"/>
    <s v="Skilled Manual"/>
    <s v="Yes"/>
    <n v="0"/>
    <s v="1-2 Miles"/>
    <x v="2"/>
    <x v="8"/>
    <x v="0"/>
    <x v="1"/>
  </r>
  <r>
    <n v="14443"/>
    <x v="0"/>
    <x v="1"/>
    <n v="130000"/>
    <n v="1"/>
    <x v="4"/>
    <s v="Management"/>
    <s v="Yes"/>
    <n v="4"/>
    <s v="0-1 Miles"/>
    <x v="2"/>
    <x v="8"/>
    <x v="0"/>
    <x v="0"/>
  </r>
  <r>
    <n v="17864"/>
    <x v="0"/>
    <x v="0"/>
    <n v="60000"/>
    <n v="1"/>
    <x v="1"/>
    <s v="Skilled Manual"/>
    <s v="Yes"/>
    <n v="1"/>
    <s v="2-5 Miles"/>
    <x v="2"/>
    <x v="30"/>
    <x v="0"/>
    <x v="1"/>
  </r>
  <r>
    <n v="20505"/>
    <x v="0"/>
    <x v="0"/>
    <n v="40000"/>
    <n v="5"/>
    <x v="2"/>
    <s v="Professional"/>
    <s v="No"/>
    <n v="2"/>
    <s v="More than 10+ Miles"/>
    <x v="2"/>
    <x v="33"/>
    <x v="1"/>
    <x v="0"/>
  </r>
  <r>
    <n v="14592"/>
    <x v="0"/>
    <x v="0"/>
    <n v="60000"/>
    <n v="0"/>
    <x v="4"/>
    <s v="Professional"/>
    <s v="Yes"/>
    <n v="0"/>
    <s v="0-1 Miles"/>
    <x v="2"/>
    <x v="8"/>
    <x v="0"/>
    <x v="0"/>
  </r>
  <r>
    <n v="22227"/>
    <x v="0"/>
    <x v="0"/>
    <n v="60000"/>
    <n v="2"/>
    <x v="2"/>
    <s v="Professional"/>
    <s v="Yes"/>
    <n v="2"/>
    <s v="5-10 Miles"/>
    <x v="2"/>
    <x v="5"/>
    <x v="0"/>
    <x v="0"/>
  </r>
  <r>
    <n v="21471"/>
    <x v="0"/>
    <x v="1"/>
    <n v="70000"/>
    <n v="2"/>
    <x v="1"/>
    <s v="Professional"/>
    <s v="Yes"/>
    <n v="1"/>
    <s v="More than 10+ Miles"/>
    <x v="2"/>
    <x v="14"/>
    <x v="1"/>
    <x v="0"/>
  </r>
  <r>
    <n v="22252"/>
    <x v="1"/>
    <x v="0"/>
    <n v="60000"/>
    <n v="1"/>
    <x v="4"/>
    <s v="Professional"/>
    <s v="Yes"/>
    <n v="0"/>
    <s v="2-5 Miles"/>
    <x v="2"/>
    <x v="4"/>
    <x v="0"/>
    <x v="1"/>
  </r>
  <r>
    <n v="21260"/>
    <x v="1"/>
    <x v="0"/>
    <n v="40000"/>
    <n v="0"/>
    <x v="2"/>
    <s v="Skilled Manual"/>
    <s v="Yes"/>
    <n v="2"/>
    <s v="5-10 Miles"/>
    <x v="2"/>
    <x v="25"/>
    <x v="2"/>
    <x v="0"/>
  </r>
  <r>
    <n v="11817"/>
    <x v="1"/>
    <x v="0"/>
    <n v="70000"/>
    <n v="4"/>
    <x v="4"/>
    <s v="Professional"/>
    <s v="Yes"/>
    <n v="0"/>
    <s v="2-5 Miles"/>
    <x v="2"/>
    <x v="11"/>
    <x v="0"/>
    <x v="1"/>
  </r>
  <r>
    <n v="19223"/>
    <x v="0"/>
    <x v="0"/>
    <n v="30000"/>
    <n v="2"/>
    <x v="2"/>
    <s v="Skilled Manual"/>
    <s v="Yes"/>
    <n v="2"/>
    <s v="1-2 Miles"/>
    <x v="2"/>
    <x v="2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4"/>
    <x v="1"/>
    <x v="0"/>
  </r>
  <r>
    <n v="21770"/>
    <x v="0"/>
    <x v="1"/>
    <n v="60000"/>
    <n v="4"/>
    <x v="0"/>
    <s v="Management"/>
    <s v="Yes"/>
    <n v="2"/>
    <s v="More than 10+ Miles"/>
    <x v="2"/>
    <x v="2"/>
    <x v="1"/>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8"/>
    <x v="0"/>
    <x v="0"/>
  </r>
  <r>
    <n v="29133"/>
    <x v="1"/>
    <x v="0"/>
    <n v="60000"/>
    <n v="4"/>
    <x v="0"/>
    <s v="Skilled Manual"/>
    <s v="No"/>
    <n v="2"/>
    <s v="0-1 Miles"/>
    <x v="2"/>
    <x v="0"/>
    <x v="0"/>
    <x v="0"/>
  </r>
  <r>
    <n v="27673"/>
    <x v="1"/>
    <x v="0"/>
    <n v="60000"/>
    <n v="3"/>
    <x v="4"/>
    <s v="Management"/>
    <s v="Yes"/>
    <n v="2"/>
    <s v="5-10 Miles"/>
    <x v="2"/>
    <x v="39"/>
    <x v="0"/>
    <x v="1"/>
  </r>
  <r>
    <n v="12774"/>
    <x v="0"/>
    <x v="0"/>
    <n v="40000"/>
    <n v="1"/>
    <x v="1"/>
    <s v="Clerical"/>
    <s v="Yes"/>
    <n v="1"/>
    <s v="1-2 Miles"/>
    <x v="2"/>
    <x v="36"/>
    <x v="0"/>
    <x v="1"/>
  </r>
  <r>
    <n v="18910"/>
    <x v="1"/>
    <x v="1"/>
    <n v="30000"/>
    <n v="0"/>
    <x v="1"/>
    <s v="Skilled Manual"/>
    <s v="Yes"/>
    <n v="2"/>
    <s v="5-10 Miles"/>
    <x v="2"/>
    <x v="25"/>
    <x v="2"/>
    <x v="0"/>
  </r>
  <r>
    <n v="11699"/>
    <x v="1"/>
    <x v="1"/>
    <n v="60000"/>
    <n v="0"/>
    <x v="0"/>
    <s v="Skilled Manual"/>
    <s v="No"/>
    <n v="2"/>
    <s v="0-1 Miles"/>
    <x v="2"/>
    <x v="25"/>
    <x v="2"/>
    <x v="0"/>
  </r>
  <r>
    <n v="16725"/>
    <x v="0"/>
    <x v="1"/>
    <n v="30000"/>
    <n v="0"/>
    <x v="2"/>
    <s v="Skilled Manual"/>
    <s v="Yes"/>
    <n v="2"/>
    <s v="5-10 Miles"/>
    <x v="2"/>
    <x v="22"/>
    <x v="2"/>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0"/>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0"/>
    <x v="0"/>
    <x v="0"/>
  </r>
  <r>
    <n v="29112"/>
    <x v="1"/>
    <x v="1"/>
    <n v="60000"/>
    <n v="0"/>
    <x v="1"/>
    <s v="Professional"/>
    <s v="No"/>
    <n v="2"/>
    <s v="1-2 Miles"/>
    <x v="2"/>
    <x v="25"/>
    <x v="2"/>
    <x v="0"/>
  </r>
  <r>
    <n v="14090"/>
    <x v="0"/>
    <x v="0"/>
    <n v="30000"/>
    <n v="0"/>
    <x v="3"/>
    <s v="Clerical"/>
    <s v="No"/>
    <n v="2"/>
    <s v="0-1 Miles"/>
    <x v="2"/>
    <x v="26"/>
    <x v="2"/>
    <x v="0"/>
  </r>
  <r>
    <n v="27040"/>
    <x v="0"/>
    <x v="1"/>
    <n v="20000"/>
    <n v="2"/>
    <x v="3"/>
    <s v="Clerical"/>
    <s v="Yes"/>
    <n v="2"/>
    <s v="1-2 Miles"/>
    <x v="2"/>
    <x v="38"/>
    <x v="0"/>
    <x v="0"/>
  </r>
  <r>
    <n v="23479"/>
    <x v="1"/>
    <x v="1"/>
    <n v="90000"/>
    <n v="0"/>
    <x v="1"/>
    <s v="Professional"/>
    <s v="No"/>
    <n v="2"/>
    <s v="0-1 Miles"/>
    <x v="2"/>
    <x v="1"/>
    <x v="0"/>
    <x v="1"/>
  </r>
  <r>
    <n v="16795"/>
    <x v="0"/>
    <x v="0"/>
    <n v="70000"/>
    <n v="4"/>
    <x v="0"/>
    <s v="Management"/>
    <s v="Yes"/>
    <n v="1"/>
    <s v="1-2 Miles"/>
    <x v="2"/>
    <x v="14"/>
    <x v="1"/>
    <x v="0"/>
  </r>
  <r>
    <n v="22014"/>
    <x v="1"/>
    <x v="1"/>
    <n v="30000"/>
    <n v="0"/>
    <x v="2"/>
    <s v="Skilled Manual"/>
    <s v="Yes"/>
    <n v="2"/>
    <s v="5-10 Miles"/>
    <x v="2"/>
    <x v="22"/>
    <x v="2"/>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More than 10+ Miles"/>
    <x v="2"/>
    <x v="14"/>
    <x v="1"/>
    <x v="0"/>
  </r>
  <r>
    <n v="20296"/>
    <x v="1"/>
    <x v="0"/>
    <n v="60000"/>
    <n v="0"/>
    <x v="1"/>
    <s v="Skilled Manual"/>
    <s v="No"/>
    <n v="1"/>
    <s v="1-2 Miles"/>
    <x v="2"/>
    <x v="6"/>
    <x v="0"/>
    <x v="1"/>
  </r>
  <r>
    <n v="17546"/>
    <x v="0"/>
    <x v="0"/>
    <n v="70000"/>
    <n v="1"/>
    <x v="1"/>
    <s v="Skilled Manual"/>
    <s v="Yes"/>
    <n v="1"/>
    <s v="0-1 Miles"/>
    <x v="2"/>
    <x v="20"/>
    <x v="0"/>
    <x v="1"/>
  </r>
  <r>
    <n v="18069"/>
    <x v="0"/>
    <x v="1"/>
    <n v="70000"/>
    <n v="5"/>
    <x v="0"/>
    <s v="Management"/>
    <s v="Yes"/>
    <n v="4"/>
    <s v="More than 10+ Miles"/>
    <x v="2"/>
    <x v="2"/>
    <x v="1"/>
    <x v="0"/>
  </r>
  <r>
    <n v="23712"/>
    <x v="1"/>
    <x v="0"/>
    <n v="70000"/>
    <n v="2"/>
    <x v="0"/>
    <s v="Management"/>
    <s v="Yes"/>
    <n v="1"/>
    <s v="More than 10+ Miles"/>
    <x v="2"/>
    <x v="14"/>
    <x v="1"/>
    <x v="0"/>
  </r>
  <r>
    <n v="23358"/>
    <x v="0"/>
    <x v="1"/>
    <n v="60000"/>
    <n v="0"/>
    <x v="2"/>
    <s v="Professional"/>
    <s v="Yes"/>
    <n v="2"/>
    <s v="5-10 Miles"/>
    <x v="2"/>
    <x v="21"/>
    <x v="0"/>
    <x v="1"/>
  </r>
  <r>
    <n v="20518"/>
    <x v="0"/>
    <x v="0"/>
    <n v="70000"/>
    <n v="2"/>
    <x v="1"/>
    <s v="Professional"/>
    <s v="Yes"/>
    <n v="1"/>
    <s v="More than 10+ Miles"/>
    <x v="2"/>
    <x v="7"/>
    <x v="1"/>
    <x v="0"/>
  </r>
  <r>
    <n v="28026"/>
    <x v="0"/>
    <x v="0"/>
    <n v="40000"/>
    <n v="2"/>
    <x v="2"/>
    <s v="Professional"/>
    <s v="No"/>
    <n v="2"/>
    <s v="2-5 Miles"/>
    <x v="2"/>
    <x v="14"/>
    <x v="1"/>
    <x v="0"/>
  </r>
  <r>
    <n v="11669"/>
    <x v="1"/>
    <x v="0"/>
    <n v="70000"/>
    <n v="2"/>
    <x v="0"/>
    <s v="Skilled Manual"/>
    <s v="Yes"/>
    <n v="1"/>
    <s v="2-5 Miles"/>
    <x v="2"/>
    <x v="13"/>
    <x v="0"/>
    <x v="0"/>
  </r>
  <r>
    <n v="16020"/>
    <x v="0"/>
    <x v="1"/>
    <n v="40000"/>
    <n v="0"/>
    <x v="2"/>
    <s v="Skilled Manual"/>
    <s v="Yes"/>
    <n v="2"/>
    <s v="5-10 Miles"/>
    <x v="2"/>
    <x v="26"/>
    <x v="2"/>
    <x v="1"/>
  </r>
  <r>
    <n v="27090"/>
    <x v="0"/>
    <x v="0"/>
    <n v="60000"/>
    <n v="1"/>
    <x v="4"/>
    <s v="Professional"/>
    <s v="Yes"/>
    <n v="0"/>
    <s v="2-5 Miles"/>
    <x v="2"/>
    <x v="34"/>
    <x v="0"/>
    <x v="1"/>
  </r>
  <r>
    <n v="27198"/>
    <x v="1"/>
    <x v="0"/>
    <n v="80000"/>
    <n v="0"/>
    <x v="4"/>
    <s v="Skilled Manual"/>
    <s v="No"/>
    <n v="0"/>
    <s v="0-1 Miles"/>
    <x v="2"/>
    <x v="8"/>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1"/>
    <x v="1"/>
  </r>
  <r>
    <n v="13287"/>
    <x v="1"/>
    <x v="1"/>
    <n v="110000"/>
    <n v="4"/>
    <x v="0"/>
    <s v="Management"/>
    <s v="Yes"/>
    <n v="4"/>
    <s v="5-10 Miles"/>
    <x v="2"/>
    <x v="0"/>
    <x v="0"/>
    <x v="1"/>
  </r>
  <r>
    <n v="14493"/>
    <x v="1"/>
    <x v="0"/>
    <n v="70000"/>
    <n v="3"/>
    <x v="4"/>
    <s v="Management"/>
    <s v="No"/>
    <n v="2"/>
    <s v="1-2 Miles"/>
    <x v="2"/>
    <x v="39"/>
    <x v="0"/>
    <x v="0"/>
  </r>
  <r>
    <n v="26678"/>
    <x v="1"/>
    <x v="0"/>
    <n v="80000"/>
    <n v="2"/>
    <x v="3"/>
    <s v="Skilled Manual"/>
    <s v="Yes"/>
    <n v="2"/>
    <s v="5-10 Miles"/>
    <x v="2"/>
    <x v="38"/>
    <x v="0"/>
    <x v="0"/>
  </r>
  <r>
    <n v="23275"/>
    <x v="0"/>
    <x v="1"/>
    <n v="30000"/>
    <n v="2"/>
    <x v="2"/>
    <s v="Skilled Manual"/>
    <s v="Yes"/>
    <n v="2"/>
    <s v="1-2 Miles"/>
    <x v="2"/>
    <x v="38"/>
    <x v="0"/>
    <x v="0"/>
  </r>
  <r>
    <n v="11270"/>
    <x v="0"/>
    <x v="1"/>
    <n v="130000"/>
    <n v="2"/>
    <x v="4"/>
    <s v="Management"/>
    <s v="Yes"/>
    <n v="3"/>
    <s v="0-1 Miles"/>
    <x v="2"/>
    <x v="0"/>
    <x v="0"/>
    <x v="1"/>
  </r>
  <r>
    <n v="20084"/>
    <x v="0"/>
    <x v="1"/>
    <n v="20000"/>
    <n v="2"/>
    <x v="2"/>
    <s v="Manual"/>
    <s v="No"/>
    <n v="2"/>
    <s v="0-1 Miles"/>
    <x v="2"/>
    <x v="39"/>
    <x v="0"/>
    <x v="0"/>
  </r>
  <r>
    <n v="16144"/>
    <x v="0"/>
    <x v="1"/>
    <n v="70000"/>
    <n v="1"/>
    <x v="4"/>
    <s v="Professional"/>
    <s v="Yes"/>
    <n v="1"/>
    <s v="0-1 Miles"/>
    <x v="2"/>
    <x v="30"/>
    <x v="0"/>
    <x v="1"/>
  </r>
  <r>
    <n v="27731"/>
    <x v="0"/>
    <x v="1"/>
    <n v="40000"/>
    <n v="0"/>
    <x v="2"/>
    <s v="Skilled Manual"/>
    <s v="Yes"/>
    <n v="2"/>
    <s v="5-10 Miles"/>
    <x v="2"/>
    <x v="40"/>
    <x v="2"/>
    <x v="0"/>
  </r>
  <r>
    <n v="11886"/>
    <x v="0"/>
    <x v="0"/>
    <n v="60000"/>
    <n v="3"/>
    <x v="0"/>
    <s v="Professional"/>
    <s v="Yes"/>
    <n v="1"/>
    <s v="0-1 Miles"/>
    <x v="2"/>
    <x v="28"/>
    <x v="0"/>
    <x v="1"/>
  </r>
  <r>
    <n v="24324"/>
    <x v="1"/>
    <x v="0"/>
    <n v="60000"/>
    <n v="4"/>
    <x v="0"/>
    <s v="Skilled Manual"/>
    <s v="Yes"/>
    <n v="2"/>
    <s v="2-5 Miles"/>
    <x v="2"/>
    <x v="3"/>
    <x v="0"/>
    <x v="1"/>
  </r>
  <r>
    <n v="22220"/>
    <x v="0"/>
    <x v="1"/>
    <n v="60000"/>
    <n v="2"/>
    <x v="2"/>
    <s v="Professional"/>
    <s v="No"/>
    <n v="2"/>
    <s v="1-2 Miles"/>
    <x v="2"/>
    <x v="38"/>
    <x v="0"/>
    <x v="1"/>
  </r>
  <r>
    <n v="26625"/>
    <x v="1"/>
    <x v="0"/>
    <n v="60000"/>
    <n v="0"/>
    <x v="4"/>
    <s v="Professional"/>
    <s v="Yes"/>
    <n v="1"/>
    <s v="2-5 Miles"/>
    <x v="2"/>
    <x v="13"/>
    <x v="0"/>
    <x v="1"/>
  </r>
  <r>
    <n v="23027"/>
    <x v="1"/>
    <x v="1"/>
    <n v="130000"/>
    <n v="1"/>
    <x v="0"/>
    <s v="Management"/>
    <s v="No"/>
    <n v="4"/>
    <s v="0-1 Miles"/>
    <x v="2"/>
    <x v="20"/>
    <x v="0"/>
    <x v="0"/>
  </r>
  <r>
    <n v="16867"/>
    <x v="1"/>
    <x v="0"/>
    <n v="130000"/>
    <n v="1"/>
    <x v="0"/>
    <s v="Management"/>
    <s v="No"/>
    <n v="3"/>
    <s v="0-1 Miles"/>
    <x v="2"/>
    <x v="12"/>
    <x v="0"/>
    <x v="1"/>
  </r>
  <r>
    <n v="14514"/>
    <x v="1"/>
    <x v="0"/>
    <n v="30000"/>
    <n v="0"/>
    <x v="1"/>
    <s v="Skilled Manual"/>
    <s v="Yes"/>
    <n v="1"/>
    <s v="5-10 Miles"/>
    <x v="2"/>
    <x v="22"/>
    <x v="2"/>
    <x v="0"/>
  </r>
  <r>
    <n v="19634"/>
    <x v="0"/>
    <x v="1"/>
    <n v="40000"/>
    <n v="0"/>
    <x v="2"/>
    <s v="Skilled Manual"/>
    <s v="Yes"/>
    <n v="1"/>
    <s v="5-10 Miles"/>
    <x v="2"/>
    <x v="23"/>
    <x v="0"/>
    <x v="0"/>
  </r>
  <r>
    <n v="18504"/>
    <x v="0"/>
    <x v="1"/>
    <n v="70000"/>
    <n v="2"/>
    <x v="3"/>
    <s v="Skilled Manual"/>
    <s v="No"/>
    <n v="2"/>
    <s v="1-2 Miles"/>
    <x v="2"/>
    <x v="38"/>
    <x v="0"/>
    <x v="0"/>
  </r>
  <r>
    <n v="28799"/>
    <x v="1"/>
    <x v="0"/>
    <n v="40000"/>
    <n v="2"/>
    <x v="1"/>
    <s v="Clerical"/>
    <s v="No"/>
    <n v="1"/>
    <s v="1-2 Miles"/>
    <x v="2"/>
    <x v="15"/>
    <x v="0"/>
    <x v="1"/>
  </r>
  <r>
    <n v="11225"/>
    <x v="0"/>
    <x v="0"/>
    <n v="60000"/>
    <n v="2"/>
    <x v="1"/>
    <s v="Professional"/>
    <s v="Yes"/>
    <n v="1"/>
    <s v="More than 10+ Miles"/>
    <x v="2"/>
    <x v="10"/>
    <x v="1"/>
    <x v="0"/>
  </r>
  <r>
    <n v="17657"/>
    <x v="0"/>
    <x v="1"/>
    <n v="40000"/>
    <n v="4"/>
    <x v="1"/>
    <s v="Clerical"/>
    <s v="No"/>
    <n v="0"/>
    <s v="0-1 Miles"/>
    <x v="2"/>
    <x v="25"/>
    <x v="2"/>
    <x v="0"/>
  </r>
  <r>
    <n v="14913"/>
    <x v="0"/>
    <x v="0"/>
    <n v="40000"/>
    <n v="1"/>
    <x v="1"/>
    <s v="Clerical"/>
    <s v="Yes"/>
    <n v="1"/>
    <s v="1-2 Miles"/>
    <x v="2"/>
    <x v="28"/>
    <x v="0"/>
    <x v="1"/>
  </r>
  <r>
    <n v="14077"/>
    <x v="1"/>
    <x v="1"/>
    <n v="30000"/>
    <n v="0"/>
    <x v="2"/>
    <s v="Skilled Manual"/>
    <s v="Yes"/>
    <n v="2"/>
    <s v="5-10 Miles"/>
    <x v="2"/>
    <x v="25"/>
    <x v="2"/>
    <x v="0"/>
  </r>
  <r>
    <n v="13296"/>
    <x v="0"/>
    <x v="1"/>
    <n v="110000"/>
    <n v="1"/>
    <x v="0"/>
    <s v="Management"/>
    <s v="Yes"/>
    <n v="3"/>
    <s v="5-10 Miles"/>
    <x v="2"/>
    <x v="12"/>
    <x v="0"/>
    <x v="0"/>
  </r>
  <r>
    <n v="20535"/>
    <x v="0"/>
    <x v="0"/>
    <n v="70000"/>
    <n v="4"/>
    <x v="1"/>
    <s v="Professional"/>
    <s v="Yes"/>
    <n v="1"/>
    <s v="More than 10+ Miles"/>
    <x v="2"/>
    <x v="16"/>
    <x v="1"/>
    <x v="0"/>
  </r>
  <r>
    <n v="12452"/>
    <x v="0"/>
    <x v="1"/>
    <n v="60000"/>
    <n v="4"/>
    <x v="4"/>
    <s v="Skilled Manual"/>
    <s v="Yes"/>
    <n v="0"/>
    <s v="1-2 Miles"/>
    <x v="2"/>
    <x v="15"/>
    <x v="0"/>
    <x v="1"/>
  </r>
  <r>
    <n v="28043"/>
    <x v="0"/>
    <x v="0"/>
    <n v="60000"/>
    <n v="2"/>
    <x v="0"/>
    <s v="Management"/>
    <s v="Yes"/>
    <n v="0"/>
    <s v="More than 10+ Miles"/>
    <x v="2"/>
    <x v="16"/>
    <x v="1"/>
    <x v="0"/>
  </r>
  <r>
    <n v="12957"/>
    <x v="1"/>
    <x v="0"/>
    <n v="70000"/>
    <n v="1"/>
    <x v="0"/>
    <s v="Professional"/>
    <s v="No"/>
    <n v="1"/>
    <s v="0-1 Miles"/>
    <x v="2"/>
    <x v="20"/>
    <x v="0"/>
    <x v="0"/>
  </r>
  <r>
    <n v="15412"/>
    <x v="0"/>
    <x v="1"/>
    <n v="130000"/>
    <n v="2"/>
    <x v="4"/>
    <s v="Management"/>
    <s v="Yes"/>
    <n v="3"/>
    <s v="2-5 Miles"/>
    <x v="2"/>
    <x v="45"/>
    <x v="1"/>
    <x v="0"/>
  </r>
  <r>
    <n v="20514"/>
    <x v="0"/>
    <x v="0"/>
    <n v="70000"/>
    <n v="2"/>
    <x v="1"/>
    <s v="Professional"/>
    <s v="Yes"/>
    <n v="1"/>
    <s v="2-5 Miles"/>
    <x v="2"/>
    <x v="14"/>
    <x v="1"/>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1"/>
    <x v="0"/>
    <x v="0"/>
  </r>
  <r>
    <n v="28087"/>
    <x v="1"/>
    <x v="0"/>
    <n v="40000"/>
    <n v="0"/>
    <x v="1"/>
    <s v="Skilled Manual"/>
    <s v="No"/>
    <n v="1"/>
    <s v="1-2 Miles"/>
    <x v="2"/>
    <x v="40"/>
    <x v="2"/>
    <x v="0"/>
  </r>
  <r>
    <n v="23668"/>
    <x v="0"/>
    <x v="0"/>
    <n v="40000"/>
    <n v="4"/>
    <x v="2"/>
    <s v="Professional"/>
    <s v="Yes"/>
    <n v="2"/>
    <s v="5-10 Miles"/>
    <x v="2"/>
    <x v="14"/>
    <x v="1"/>
    <x v="1"/>
  </r>
  <r>
    <n v="27441"/>
    <x v="0"/>
    <x v="1"/>
    <n v="60000"/>
    <n v="3"/>
    <x v="2"/>
    <s v="Professional"/>
    <s v="No"/>
    <n v="2"/>
    <s v="2-5 Miles"/>
    <x v="2"/>
    <x v="39"/>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More than 10+ Miles"/>
    <x v="2"/>
    <x v="14"/>
    <x v="1"/>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40"/>
    <x v="2"/>
    <x v="0"/>
  </r>
  <r>
    <n v="16753"/>
    <x v="1"/>
    <x v="0"/>
    <n v="70000"/>
    <n v="0"/>
    <x v="1"/>
    <s v="Skilled Manual"/>
    <s v="Yes"/>
    <n v="2"/>
    <s v="5-10 Miles"/>
    <x v="2"/>
    <x v="17"/>
    <x v="0"/>
    <x v="1"/>
  </r>
  <r>
    <n v="14608"/>
    <x v="0"/>
    <x v="1"/>
    <n v="50000"/>
    <n v="4"/>
    <x v="0"/>
    <s v="Skilled Manual"/>
    <s v="Yes"/>
    <n v="3"/>
    <s v="More than 10+ Miles"/>
    <x v="2"/>
    <x v="0"/>
    <x v="0"/>
    <x v="0"/>
  </r>
  <r>
    <n v="24979"/>
    <x v="0"/>
    <x v="0"/>
    <n v="60000"/>
    <n v="2"/>
    <x v="1"/>
    <s v="Professional"/>
    <s v="Yes"/>
    <n v="2"/>
    <s v="2-5 Miles"/>
    <x v="2"/>
    <x v="42"/>
    <x v="1"/>
    <x v="1"/>
  </r>
  <r>
    <n v="13313"/>
    <x v="0"/>
    <x v="0"/>
    <n v="120000"/>
    <n v="1"/>
    <x v="2"/>
    <s v="Professional"/>
    <s v="No"/>
    <n v="4"/>
    <s v="2-5 Miles"/>
    <x v="2"/>
    <x v="12"/>
    <x v="0"/>
    <x v="0"/>
  </r>
  <r>
    <n v="18952"/>
    <x v="0"/>
    <x v="0"/>
    <n v="100000"/>
    <n v="4"/>
    <x v="0"/>
    <s v="Management"/>
    <s v="Yes"/>
    <n v="4"/>
    <s v="0-1 Miles"/>
    <x v="2"/>
    <x v="8"/>
    <x v="0"/>
    <x v="0"/>
  </r>
  <r>
    <n v="17699"/>
    <x v="0"/>
    <x v="1"/>
    <n v="60000"/>
    <n v="1"/>
    <x v="4"/>
    <s v="Skilled Manual"/>
    <s v="No"/>
    <n v="0"/>
    <s v="0-1 Miles"/>
    <x v="2"/>
    <x v="10"/>
    <x v="1"/>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More than 10+ Miles"/>
    <x v="2"/>
    <x v="9"/>
    <x v="0"/>
    <x v="0"/>
  </r>
  <r>
    <n v="26490"/>
    <x v="1"/>
    <x v="1"/>
    <n v="70000"/>
    <n v="2"/>
    <x v="0"/>
    <s v="Management"/>
    <s v="No"/>
    <n v="1"/>
    <s v="2-5 Miles"/>
    <x v="2"/>
    <x v="14"/>
    <x v="1"/>
    <x v="1"/>
  </r>
  <r>
    <n v="13151"/>
    <x v="1"/>
    <x v="1"/>
    <n v="40000"/>
    <n v="0"/>
    <x v="2"/>
    <s v="Skilled Manual"/>
    <s v="Yes"/>
    <n v="2"/>
    <s v="5-10 Miles"/>
    <x v="2"/>
    <x v="40"/>
    <x v="2"/>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More than 10+ Miles"/>
    <x v="2"/>
    <x v="10"/>
    <x v="1"/>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9"/>
    <x v="0"/>
    <x v="1"/>
  </r>
  <r>
    <n v="24496"/>
    <x v="1"/>
    <x v="0"/>
    <n v="40000"/>
    <n v="0"/>
    <x v="2"/>
    <s v="Skilled Manual"/>
    <s v="No"/>
    <n v="2"/>
    <s v="0-1 Miles"/>
    <x v="2"/>
    <x v="26"/>
    <x v="2"/>
    <x v="1"/>
  </r>
  <r>
    <n v="15468"/>
    <x v="0"/>
    <x v="0"/>
    <n v="50000"/>
    <n v="1"/>
    <x v="0"/>
    <s v="Skilled Manual"/>
    <s v="Yes"/>
    <n v="1"/>
    <s v="0-1 Miles"/>
    <x v="2"/>
    <x v="11"/>
    <x v="0"/>
    <x v="0"/>
  </r>
  <r>
    <n v="28031"/>
    <x v="1"/>
    <x v="0"/>
    <n v="70000"/>
    <n v="2"/>
    <x v="0"/>
    <s v="Management"/>
    <s v="No"/>
    <n v="1"/>
    <s v="2-5 Miles"/>
    <x v="2"/>
    <x v="14"/>
    <x v="1"/>
    <x v="1"/>
  </r>
  <r>
    <n v="26270"/>
    <x v="1"/>
    <x v="0"/>
    <n v="20000"/>
    <n v="2"/>
    <x v="3"/>
    <s v="Clerical"/>
    <s v="Yes"/>
    <n v="2"/>
    <s v="1-2 Miles"/>
    <x v="2"/>
    <x v="38"/>
    <x v="0"/>
    <x v="0"/>
  </r>
  <r>
    <n v="22221"/>
    <x v="0"/>
    <x v="1"/>
    <n v="60000"/>
    <n v="2"/>
    <x v="2"/>
    <s v="Professional"/>
    <s v="No"/>
    <n v="2"/>
    <s v="1-2 Miles"/>
    <x v="2"/>
    <x v="28"/>
    <x v="0"/>
    <x v="1"/>
  </r>
  <r>
    <n v="28228"/>
    <x v="1"/>
    <x v="0"/>
    <n v="80000"/>
    <n v="2"/>
    <x v="3"/>
    <s v="Skilled Manual"/>
    <s v="No"/>
    <n v="2"/>
    <s v="1-2 Miles"/>
    <x v="2"/>
    <x v="5"/>
    <x v="0"/>
    <x v="0"/>
  </r>
  <r>
    <n v="18363"/>
    <x v="0"/>
    <x v="1"/>
    <n v="40000"/>
    <n v="0"/>
    <x v="2"/>
    <s v="Skilled Manual"/>
    <s v="Yes"/>
    <n v="2"/>
    <s v="5-10 Miles"/>
    <x v="2"/>
    <x v="26"/>
    <x v="2"/>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1"/>
    <x v="1"/>
  </r>
  <r>
    <n v="20310"/>
    <x v="1"/>
    <x v="1"/>
    <n v="60000"/>
    <n v="0"/>
    <x v="1"/>
    <s v="Skilled Manual"/>
    <s v="Yes"/>
    <n v="1"/>
    <s v="5-10 Miles"/>
    <x v="2"/>
    <x v="40"/>
    <x v="2"/>
    <x v="1"/>
  </r>
  <r>
    <n v="22971"/>
    <x v="1"/>
    <x v="0"/>
    <n v="30000"/>
    <n v="0"/>
    <x v="2"/>
    <s v="Skilled Manual"/>
    <s v="No"/>
    <n v="2"/>
    <s v="0-1 Miles"/>
    <x v="2"/>
    <x v="37"/>
    <x v="2"/>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40"/>
    <x v="2"/>
    <x v="0"/>
  </r>
  <r>
    <n v="15255"/>
    <x v="0"/>
    <x v="1"/>
    <n v="40000"/>
    <n v="0"/>
    <x v="2"/>
    <s v="Skilled Manual"/>
    <s v="Yes"/>
    <n v="2"/>
    <s v="5-10 Miles"/>
    <x v="2"/>
    <x v="26"/>
    <x v="2"/>
    <x v="1"/>
  </r>
  <r>
    <n v="13154"/>
    <x v="0"/>
    <x v="1"/>
    <n v="40000"/>
    <n v="0"/>
    <x v="2"/>
    <s v="Skilled Manual"/>
    <s v="No"/>
    <n v="2"/>
    <s v="0-1 Miles"/>
    <x v="2"/>
    <x v="40"/>
    <x v="2"/>
    <x v="1"/>
  </r>
  <r>
    <n v="26778"/>
    <x v="1"/>
    <x v="0"/>
    <n v="40000"/>
    <n v="0"/>
    <x v="2"/>
    <s v="Skilled Manual"/>
    <s v="Yes"/>
    <n v="2"/>
    <s v="5-10 Miles"/>
    <x v="2"/>
    <x v="23"/>
    <x v="0"/>
    <x v="0"/>
  </r>
  <r>
    <n v="23248"/>
    <x v="0"/>
    <x v="0"/>
    <n v="10000"/>
    <n v="2"/>
    <x v="2"/>
    <s v="Manual"/>
    <s v="Yes"/>
    <n v="2"/>
    <s v="1-2 Miles"/>
    <x v="2"/>
    <x v="39"/>
    <x v="0"/>
    <x v="0"/>
  </r>
  <r>
    <n v="21417"/>
    <x v="1"/>
    <x v="0"/>
    <n v="60000"/>
    <n v="0"/>
    <x v="1"/>
    <s v="Professional"/>
    <s v="No"/>
    <n v="2"/>
    <s v="1-2 Miles"/>
    <x v="2"/>
    <x v="21"/>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3"/>
    <x v="0"/>
    <x v="0"/>
  </r>
  <r>
    <n v="15749"/>
    <x v="1"/>
    <x v="0"/>
    <n v="70000"/>
    <n v="4"/>
    <x v="0"/>
    <s v="Management"/>
    <s v="Yes"/>
    <n v="2"/>
    <s v="More than 10+ Miles"/>
    <x v="2"/>
    <x v="33"/>
    <x v="1"/>
    <x v="0"/>
  </r>
  <r>
    <n v="25899"/>
    <x v="0"/>
    <x v="0"/>
    <n v="70000"/>
    <n v="2"/>
    <x v="2"/>
    <s v="Professional"/>
    <s v="Yes"/>
    <n v="2"/>
    <s v="More than 10+ Miles"/>
    <x v="2"/>
    <x v="39"/>
    <x v="0"/>
    <x v="0"/>
  </r>
  <r>
    <n v="13351"/>
    <x v="1"/>
    <x v="0"/>
    <n v="70000"/>
    <n v="4"/>
    <x v="0"/>
    <s v="Management"/>
    <s v="Yes"/>
    <n v="2"/>
    <s v="1-2 Miles"/>
    <x v="2"/>
    <x v="24"/>
    <x v="1"/>
    <x v="1"/>
  </r>
  <r>
    <n v="23333"/>
    <x v="0"/>
    <x v="1"/>
    <n v="40000"/>
    <n v="0"/>
    <x v="1"/>
    <s v="Skilled Manual"/>
    <s v="No"/>
    <n v="2"/>
    <s v="1-2 Miles"/>
    <x v="2"/>
    <x v="25"/>
    <x v="2"/>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5"/>
    <x v="2"/>
    <x v="0"/>
  </r>
  <r>
    <n v="27505"/>
    <x v="1"/>
    <x v="0"/>
    <n v="40000"/>
    <n v="0"/>
    <x v="2"/>
    <s v="Skilled Manual"/>
    <s v="Yes"/>
    <n v="2"/>
    <s v="5-10 Miles"/>
    <x v="2"/>
    <x v="25"/>
    <x v="2"/>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1"/>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2"/>
    <x v="2"/>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8"/>
    <x v="0"/>
    <x v="1"/>
  </r>
  <r>
    <n v="18891"/>
    <x v="0"/>
    <x v="0"/>
    <n v="40000"/>
    <n v="0"/>
    <x v="1"/>
    <s v="Skilled Manual"/>
    <s v="Yes"/>
    <n v="2"/>
    <s v="5-10 Miles"/>
    <x v="2"/>
    <x v="26"/>
    <x v="2"/>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More than 10+ Miles"/>
    <x v="2"/>
    <x v="39"/>
    <x v="0"/>
    <x v="0"/>
  </r>
  <r>
    <n v="12056"/>
    <x v="0"/>
    <x v="1"/>
    <n v="120000"/>
    <n v="2"/>
    <x v="4"/>
    <s v="Management"/>
    <s v="Yes"/>
    <n v="3"/>
    <s v="5-10 Miles"/>
    <x v="2"/>
    <x v="46"/>
    <x v="1"/>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More than 10+ Miles"/>
    <x v="2"/>
    <x v="2"/>
    <x v="1"/>
    <x v="0"/>
  </r>
  <r>
    <n v="25343"/>
    <x v="1"/>
    <x v="0"/>
    <n v="20000"/>
    <n v="3"/>
    <x v="3"/>
    <s v="Clerical"/>
    <s v="Yes"/>
    <n v="2"/>
    <s v="1-2 Miles"/>
    <x v="2"/>
    <x v="5"/>
    <x v="0"/>
    <x v="0"/>
  </r>
  <r>
    <n v="13390"/>
    <x v="0"/>
    <x v="0"/>
    <n v="70000"/>
    <n v="4"/>
    <x v="1"/>
    <s v="Professional"/>
    <s v="No"/>
    <n v="1"/>
    <s v="1-2 Miles"/>
    <x v="2"/>
    <x v="16"/>
    <x v="1"/>
    <x v="0"/>
  </r>
  <r>
    <n v="17482"/>
    <x v="1"/>
    <x v="0"/>
    <n v="40000"/>
    <n v="0"/>
    <x v="3"/>
    <s v="Clerical"/>
    <s v="Yes"/>
    <n v="2"/>
    <s v="5-10 Miles"/>
    <x v="2"/>
    <x v="19"/>
    <x v="2"/>
    <x v="0"/>
  </r>
  <r>
    <n v="13176"/>
    <x v="1"/>
    <x v="1"/>
    <n v="130000"/>
    <n v="0"/>
    <x v="4"/>
    <s v="Management"/>
    <s v="No"/>
    <n v="2"/>
    <s v="0-1 Miles"/>
    <x v="2"/>
    <x v="13"/>
    <x v="0"/>
    <x v="1"/>
  </r>
  <r>
    <n v="20504"/>
    <x v="0"/>
    <x v="0"/>
    <n v="40000"/>
    <n v="5"/>
    <x v="2"/>
    <s v="Professional"/>
    <s v="No"/>
    <n v="2"/>
    <s v="2-5 Miles"/>
    <x v="2"/>
    <x v="2"/>
    <x v="1"/>
    <x v="0"/>
  </r>
  <r>
    <n v="12205"/>
    <x v="1"/>
    <x v="0"/>
    <n v="130000"/>
    <n v="2"/>
    <x v="0"/>
    <s v="Management"/>
    <s v="No"/>
    <n v="4"/>
    <s v="0-1 Miles"/>
    <x v="2"/>
    <x v="41"/>
    <x v="1"/>
    <x v="0"/>
  </r>
  <r>
    <n v="16751"/>
    <x v="0"/>
    <x v="1"/>
    <n v="60000"/>
    <n v="0"/>
    <x v="1"/>
    <s v="Skilled Manual"/>
    <s v="Yes"/>
    <n v="1"/>
    <s v="5-10 Miles"/>
    <x v="2"/>
    <x v="21"/>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1"/>
    <x v="0"/>
    <x v="0"/>
  </r>
  <r>
    <n v="18347"/>
    <x v="1"/>
    <x v="0"/>
    <n v="30000"/>
    <n v="0"/>
    <x v="1"/>
    <s v="Skilled Manual"/>
    <s v="No"/>
    <n v="1"/>
    <s v="1-2 Miles"/>
    <x v="2"/>
    <x v="23"/>
    <x v="0"/>
    <x v="0"/>
  </r>
  <r>
    <n v="29052"/>
    <x v="1"/>
    <x v="1"/>
    <n v="40000"/>
    <n v="0"/>
    <x v="1"/>
    <s v="Skilled Manual"/>
    <s v="Yes"/>
    <n v="1"/>
    <s v="5-10 Miles"/>
    <x v="2"/>
    <x v="40"/>
    <x v="2"/>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8"/>
    <x v="0"/>
    <x v="0"/>
  </r>
  <r>
    <n v="15839"/>
    <x v="1"/>
    <x v="1"/>
    <n v="30000"/>
    <n v="0"/>
    <x v="1"/>
    <s v="Skilled Manual"/>
    <s v="Yes"/>
    <n v="1"/>
    <s v="5-10 Miles"/>
    <x v="2"/>
    <x v="21"/>
    <x v="0"/>
    <x v="0"/>
  </r>
  <r>
    <n v="13714"/>
    <x v="0"/>
    <x v="0"/>
    <n v="20000"/>
    <n v="2"/>
    <x v="2"/>
    <s v="Manual"/>
    <s v="No"/>
    <n v="2"/>
    <s v="1-2 Miles"/>
    <x v="2"/>
    <x v="39"/>
    <x v="0"/>
    <x v="1"/>
  </r>
  <r>
    <n v="22330"/>
    <x v="0"/>
    <x v="1"/>
    <n v="50000"/>
    <n v="0"/>
    <x v="4"/>
    <s v="Skilled Manual"/>
    <s v="Yes"/>
    <n v="0"/>
    <s v="1-2 Miles"/>
    <x v="2"/>
    <x v="21"/>
    <x v="0"/>
    <x v="1"/>
  </r>
  <r>
    <n v="18783"/>
    <x v="1"/>
    <x v="1"/>
    <n v="80000"/>
    <n v="0"/>
    <x v="0"/>
    <s v="Management"/>
    <s v="No"/>
    <n v="1"/>
    <s v="0-1 Miles"/>
    <x v="2"/>
    <x v="13"/>
    <x v="0"/>
    <x v="1"/>
  </r>
  <r>
    <n v="25041"/>
    <x v="1"/>
    <x v="1"/>
    <n v="40000"/>
    <n v="0"/>
    <x v="2"/>
    <s v="Skilled Manual"/>
    <s v="Yes"/>
    <n v="2"/>
    <s v="5-10 Miles"/>
    <x v="2"/>
    <x v="23"/>
    <x v="0"/>
    <x v="0"/>
  </r>
  <r>
    <n v="22046"/>
    <x v="1"/>
    <x v="0"/>
    <n v="80000"/>
    <n v="0"/>
    <x v="0"/>
    <s v="Management"/>
    <s v="No"/>
    <n v="1"/>
    <s v="0-1 Miles"/>
    <x v="2"/>
    <x v="13"/>
    <x v="0"/>
    <x v="1"/>
  </r>
  <r>
    <n v="28052"/>
    <x v="0"/>
    <x v="1"/>
    <n v="60000"/>
    <n v="2"/>
    <x v="2"/>
    <s v="Professional"/>
    <s v="Yes"/>
    <n v="2"/>
    <s v="More than 10+ Miles"/>
    <x v="2"/>
    <x v="10"/>
    <x v="1"/>
    <x v="0"/>
  </r>
  <r>
    <n v="26693"/>
    <x v="0"/>
    <x v="1"/>
    <n v="70000"/>
    <n v="3"/>
    <x v="1"/>
    <s v="Professional"/>
    <s v="Yes"/>
    <n v="1"/>
    <s v="5-10 Miles"/>
    <x v="2"/>
    <x v="38"/>
    <x v="0"/>
    <x v="0"/>
  </r>
  <r>
    <n v="24955"/>
    <x v="1"/>
    <x v="1"/>
    <n v="30000"/>
    <n v="5"/>
    <x v="3"/>
    <s v="Skilled Manual"/>
    <s v="Yes"/>
    <n v="3"/>
    <s v="More than 10+ Miles"/>
    <x v="2"/>
    <x v="2"/>
    <x v="1"/>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More than 10+ Miles"/>
    <x v="2"/>
    <x v="10"/>
    <x v="1"/>
    <x v="0"/>
  </r>
  <r>
    <n v="22118"/>
    <x v="1"/>
    <x v="0"/>
    <n v="70000"/>
    <n v="3"/>
    <x v="4"/>
    <s v="Management"/>
    <s v="Yes"/>
    <n v="2"/>
    <s v="5-10 Miles"/>
    <x v="2"/>
    <x v="39"/>
    <x v="0"/>
    <x v="1"/>
  </r>
  <r>
    <n v="23197"/>
    <x v="0"/>
    <x v="1"/>
    <n v="50000"/>
    <n v="3"/>
    <x v="0"/>
    <s v="Skilled Manual"/>
    <s v="Yes"/>
    <n v="2"/>
    <s v="2-5 Miles"/>
    <x v="2"/>
    <x v="8"/>
    <x v="0"/>
    <x v="0"/>
  </r>
  <r>
    <n v="14883"/>
    <x v="0"/>
    <x v="0"/>
    <n v="30000"/>
    <n v="1"/>
    <x v="0"/>
    <s v="Skilled Manual"/>
    <s v="Yes"/>
    <n v="1"/>
    <s v="5-10 Miles"/>
    <x v="2"/>
    <x v="39"/>
    <x v="0"/>
    <x v="1"/>
  </r>
  <r>
    <n v="27279"/>
    <x v="1"/>
    <x v="0"/>
    <n v="70000"/>
    <n v="2"/>
    <x v="0"/>
    <s v="Skilled Manual"/>
    <s v="Yes"/>
    <n v="0"/>
    <s v="2-5 Miles"/>
    <x v="2"/>
    <x v="13"/>
    <x v="0"/>
    <x v="1"/>
  </r>
  <r>
    <n v="18322"/>
    <x v="1"/>
    <x v="1"/>
    <n v="30000"/>
    <n v="0"/>
    <x v="3"/>
    <s v="Clerical"/>
    <s v="No"/>
    <n v="2"/>
    <s v="0-1 Miles"/>
    <x v="2"/>
    <x v="22"/>
    <x v="2"/>
    <x v="0"/>
  </r>
  <r>
    <n v="15879"/>
    <x v="0"/>
    <x v="1"/>
    <n v="70000"/>
    <n v="5"/>
    <x v="0"/>
    <s v="Management"/>
    <s v="Yes"/>
    <n v="2"/>
    <s v="2-5 Miles"/>
    <x v="2"/>
    <x v="33"/>
    <x v="1"/>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1"/>
    <x v="0"/>
    <x v="0"/>
  </r>
  <r>
    <n v="16151"/>
    <x v="0"/>
    <x v="0"/>
    <n v="60000"/>
    <n v="1"/>
    <x v="0"/>
    <s v="Professional"/>
    <s v="Yes"/>
    <n v="1"/>
    <s v="2-5 Miles"/>
    <x v="2"/>
    <x v="28"/>
    <x v="0"/>
    <x v="1"/>
  </r>
  <r>
    <n v="19731"/>
    <x v="0"/>
    <x v="1"/>
    <n v="80000"/>
    <n v="4"/>
    <x v="4"/>
    <s v="Management"/>
    <s v="Yes"/>
    <n v="2"/>
    <s v="5-10 Miles"/>
    <x v="2"/>
    <x v="35"/>
    <x v="1"/>
    <x v="0"/>
  </r>
  <r>
    <n v="23801"/>
    <x v="0"/>
    <x v="0"/>
    <n v="20000"/>
    <n v="2"/>
    <x v="3"/>
    <s v="Clerical"/>
    <s v="Yes"/>
    <n v="2"/>
    <s v="0-1 Miles"/>
    <x v="2"/>
    <x v="38"/>
    <x v="0"/>
    <x v="0"/>
  </r>
  <r>
    <n v="11807"/>
    <x v="0"/>
    <x v="1"/>
    <n v="70000"/>
    <n v="3"/>
    <x v="4"/>
    <s v="Professional"/>
    <s v="Yes"/>
    <n v="0"/>
    <s v="2-5 Miles"/>
    <x v="2"/>
    <x v="17"/>
    <x v="0"/>
    <x v="0"/>
  </r>
  <r>
    <n v="11622"/>
    <x v="0"/>
    <x v="1"/>
    <n v="50000"/>
    <n v="0"/>
    <x v="4"/>
    <s v="Skilled Manual"/>
    <s v="Yes"/>
    <n v="0"/>
    <s v="0-1 Miles"/>
    <x v="2"/>
    <x v="21"/>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2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1"/>
    <x v="1"/>
  </r>
  <r>
    <n v="21583"/>
    <x v="0"/>
    <x v="0"/>
    <n v="50000"/>
    <n v="1"/>
    <x v="0"/>
    <s v="Skilled Manual"/>
    <s v="Yes"/>
    <n v="0"/>
    <s v="0-1 Miles"/>
    <x v="2"/>
    <x v="17"/>
    <x v="0"/>
    <x v="1"/>
  </r>
  <r>
    <n v="12029"/>
    <x v="0"/>
    <x v="1"/>
    <n v="30000"/>
    <n v="0"/>
    <x v="3"/>
    <s v="Clerical"/>
    <s v="No"/>
    <n v="2"/>
    <s v="0-1 Miles"/>
    <x v="2"/>
    <x v="26"/>
    <x v="2"/>
    <x v="0"/>
  </r>
  <r>
    <n v="18066"/>
    <x v="1"/>
    <x v="1"/>
    <n v="70000"/>
    <n v="5"/>
    <x v="0"/>
    <s v="Management"/>
    <s v="Yes"/>
    <n v="3"/>
    <s v="More than 10+ Miles"/>
    <x v="2"/>
    <x v="2"/>
    <x v="1"/>
    <x v="1"/>
  </r>
  <r>
    <n v="28192"/>
    <x v="0"/>
    <x v="0"/>
    <n v="70000"/>
    <n v="5"/>
    <x v="4"/>
    <s v="Professional"/>
    <s v="Yes"/>
    <n v="3"/>
    <s v="More than 10+ Miles"/>
    <x v="2"/>
    <x v="30"/>
    <x v="0"/>
    <x v="0"/>
  </r>
  <r>
    <n v="16122"/>
    <x v="0"/>
    <x v="1"/>
    <n v="40000"/>
    <n v="4"/>
    <x v="2"/>
    <s v="Skilled Manual"/>
    <s v="Yes"/>
    <n v="2"/>
    <s v="0-1 Miles"/>
    <x v="2"/>
    <x v="20"/>
    <x v="0"/>
    <x v="1"/>
  </r>
  <r>
    <n v="18607"/>
    <x v="1"/>
    <x v="0"/>
    <n v="60000"/>
    <n v="4"/>
    <x v="0"/>
    <s v="Skilled Manual"/>
    <s v="Yes"/>
    <n v="2"/>
    <s v="2-5 Miles"/>
    <x v="2"/>
    <x v="0"/>
    <x v="0"/>
    <x v="1"/>
  </r>
  <r>
    <n v="28858"/>
    <x v="1"/>
    <x v="1"/>
    <n v="80000"/>
    <n v="3"/>
    <x v="0"/>
    <s v="Skilled Manual"/>
    <s v="Yes"/>
    <n v="0"/>
    <s v="2-5 Miles"/>
    <x v="2"/>
    <x v="8"/>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More than 10+ Miles"/>
    <x v="2"/>
    <x v="18"/>
    <x v="1"/>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1"/>
    <x v="0"/>
  </r>
  <r>
    <n v="27190"/>
    <x v="0"/>
    <x v="0"/>
    <n v="40000"/>
    <n v="3"/>
    <x v="1"/>
    <s v="Clerical"/>
    <s v="Yes"/>
    <n v="1"/>
    <s v="1-2 Miles"/>
    <x v="2"/>
    <x v="21"/>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More than 10+ Miles"/>
    <x v="2"/>
    <x v="46"/>
    <x v="1"/>
    <x v="0"/>
  </r>
  <r>
    <n v="27273"/>
    <x v="1"/>
    <x v="1"/>
    <n v="70000"/>
    <n v="3"/>
    <x v="4"/>
    <s v="Professional"/>
    <s v="No"/>
    <n v="0"/>
    <s v="0-1 Miles"/>
    <x v="2"/>
    <x v="11"/>
    <x v="0"/>
    <x v="1"/>
  </r>
  <r>
    <n v="22719"/>
    <x v="1"/>
    <x v="1"/>
    <n v="110000"/>
    <n v="3"/>
    <x v="0"/>
    <s v="Management"/>
    <s v="Yes"/>
    <n v="4"/>
    <s v="2-5 Miles"/>
    <x v="2"/>
    <x v="8"/>
    <x v="0"/>
    <x v="1"/>
  </r>
  <r>
    <n v="22042"/>
    <x v="0"/>
    <x v="0"/>
    <n v="70000"/>
    <n v="0"/>
    <x v="1"/>
    <s v="Skilled Manual"/>
    <s v="Yes"/>
    <n v="2"/>
    <s v="5-10 Miles"/>
    <x v="2"/>
    <x v="17"/>
    <x v="0"/>
    <x v="1"/>
  </r>
  <r>
    <n v="21451"/>
    <x v="0"/>
    <x v="0"/>
    <n v="40000"/>
    <n v="4"/>
    <x v="2"/>
    <s v="Professional"/>
    <s v="Yes"/>
    <n v="2"/>
    <s v="More than 10+ Miles"/>
    <x v="2"/>
    <x v="33"/>
    <x v="1"/>
    <x v="0"/>
  </r>
  <r>
    <n v="20754"/>
    <x v="0"/>
    <x v="1"/>
    <n v="30000"/>
    <n v="2"/>
    <x v="2"/>
    <s v="Skilled Manual"/>
    <s v="Yes"/>
    <n v="2"/>
    <s v="1-2 Miles"/>
    <x v="2"/>
    <x v="36"/>
    <x v="0"/>
    <x v="0"/>
  </r>
  <r>
    <n v="12153"/>
    <x v="1"/>
    <x v="0"/>
    <n v="70000"/>
    <n v="3"/>
    <x v="1"/>
    <s v="Professional"/>
    <s v="Yes"/>
    <n v="1"/>
    <s v="5-10 Miles"/>
    <x v="2"/>
    <x v="38"/>
    <x v="0"/>
    <x v="1"/>
  </r>
  <r>
    <n v="16895"/>
    <x v="0"/>
    <x v="0"/>
    <n v="40000"/>
    <n v="3"/>
    <x v="1"/>
    <s v="Professional"/>
    <s v="No"/>
    <n v="2"/>
    <s v="1-2 Miles"/>
    <x v="2"/>
    <x v="9"/>
    <x v="0"/>
    <x v="1"/>
  </r>
  <r>
    <n v="26728"/>
    <x v="1"/>
    <x v="1"/>
    <n v="70000"/>
    <n v="3"/>
    <x v="4"/>
    <s v="Management"/>
    <s v="No"/>
    <n v="2"/>
    <s v="1-2 Miles"/>
    <x v="2"/>
    <x v="39"/>
    <x v="0"/>
    <x v="1"/>
  </r>
  <r>
    <n v="11090"/>
    <x v="1"/>
    <x v="1"/>
    <n v="90000"/>
    <n v="2"/>
    <x v="1"/>
    <s v="Professional"/>
    <s v="Yes"/>
    <n v="1"/>
    <s v="2-5 Miles"/>
    <x v="2"/>
    <x v="28"/>
    <x v="0"/>
    <x v="1"/>
  </r>
  <r>
    <n v="15862"/>
    <x v="1"/>
    <x v="0"/>
    <n v="50000"/>
    <n v="0"/>
    <x v="4"/>
    <s v="Skilled Manual"/>
    <s v="Yes"/>
    <n v="0"/>
    <s v="1-2 Miles"/>
    <x v="2"/>
    <x v="6"/>
    <x v="0"/>
    <x v="1"/>
  </r>
  <r>
    <n v="26495"/>
    <x v="1"/>
    <x v="0"/>
    <n v="40000"/>
    <n v="2"/>
    <x v="2"/>
    <s v="Professional"/>
    <s v="Yes"/>
    <n v="2"/>
    <s v="More than 10+ Miles"/>
    <x v="2"/>
    <x v="42"/>
    <x v="1"/>
    <x v="0"/>
  </r>
  <r>
    <n v="11823"/>
    <x v="0"/>
    <x v="0"/>
    <n v="70000"/>
    <n v="0"/>
    <x v="4"/>
    <s v="Professional"/>
    <s v="Yes"/>
    <n v="0"/>
    <s v="2-5 Miles"/>
    <x v="2"/>
    <x v="32"/>
    <x v="0"/>
    <x v="0"/>
  </r>
  <r>
    <n v="23449"/>
    <x v="0"/>
    <x v="1"/>
    <n v="60000"/>
    <n v="2"/>
    <x v="2"/>
    <s v="Professional"/>
    <s v="Yes"/>
    <n v="2"/>
    <s v="5-10 Miles"/>
    <x v="2"/>
    <x v="28"/>
    <x v="0"/>
    <x v="0"/>
  </r>
  <r>
    <n v="23459"/>
    <x v="0"/>
    <x v="1"/>
    <n v="60000"/>
    <n v="2"/>
    <x v="2"/>
    <s v="Professional"/>
    <s v="Yes"/>
    <n v="2"/>
    <s v="5-10 Miles"/>
    <x v="2"/>
    <x v="5"/>
    <x v="0"/>
    <x v="0"/>
  </r>
  <r>
    <n v="19543"/>
    <x v="0"/>
    <x v="1"/>
    <n v="70000"/>
    <n v="5"/>
    <x v="4"/>
    <s v="Professional"/>
    <s v="No"/>
    <n v="3"/>
    <s v="More than 10+ Miles"/>
    <x v="2"/>
    <x v="15"/>
    <x v="0"/>
    <x v="0"/>
  </r>
  <r>
    <n v="14914"/>
    <x v="0"/>
    <x v="0"/>
    <n v="40000"/>
    <n v="1"/>
    <x v="1"/>
    <s v="Clerical"/>
    <s v="Yes"/>
    <n v="1"/>
    <s v="1-2 Miles"/>
    <x v="2"/>
    <x v="38"/>
    <x v="0"/>
    <x v="1"/>
  </r>
  <r>
    <n v="12033"/>
    <x v="1"/>
    <x v="0"/>
    <n v="40000"/>
    <n v="0"/>
    <x v="2"/>
    <s v="Skilled Manual"/>
    <s v="No"/>
    <n v="2"/>
    <s v="0-1 Miles"/>
    <x v="2"/>
    <x v="40"/>
    <x v="2"/>
    <x v="1"/>
  </r>
  <r>
    <n v="11941"/>
    <x v="1"/>
    <x v="1"/>
    <n v="60000"/>
    <n v="0"/>
    <x v="1"/>
    <s v="Skilled Manual"/>
    <s v="Yes"/>
    <n v="0"/>
    <s v="5-10 Miles"/>
    <x v="2"/>
    <x v="19"/>
    <x v="2"/>
    <x v="0"/>
  </r>
  <r>
    <n v="14389"/>
    <x v="0"/>
    <x v="1"/>
    <n v="60000"/>
    <n v="2"/>
    <x v="0"/>
    <s v="Management"/>
    <s v="Yes"/>
    <n v="0"/>
    <s v="2-5 Miles"/>
    <x v="2"/>
    <x v="14"/>
    <x v="1"/>
    <x v="0"/>
  </r>
  <r>
    <n v="18050"/>
    <x v="0"/>
    <x v="0"/>
    <n v="60000"/>
    <n v="1"/>
    <x v="1"/>
    <s v="Skilled Manual"/>
    <s v="Yes"/>
    <n v="1"/>
    <s v="0-1 Miles"/>
    <x v="2"/>
    <x v="12"/>
    <x v="0"/>
    <x v="1"/>
  </r>
  <r>
    <n v="19856"/>
    <x v="0"/>
    <x v="0"/>
    <n v="60000"/>
    <n v="4"/>
    <x v="0"/>
    <s v="Management"/>
    <s v="Yes"/>
    <n v="2"/>
    <s v="2-5 Miles"/>
    <x v="2"/>
    <x v="2"/>
    <x v="1"/>
    <x v="0"/>
  </r>
  <r>
    <n v="11663"/>
    <x v="0"/>
    <x v="1"/>
    <n v="70000"/>
    <n v="4"/>
    <x v="4"/>
    <s v="Professional"/>
    <s v="Yes"/>
    <n v="0"/>
    <s v="0-1 Miles"/>
    <x v="2"/>
    <x v="4"/>
    <x v="0"/>
    <x v="1"/>
  </r>
  <r>
    <n v="27740"/>
    <x v="0"/>
    <x v="0"/>
    <n v="40000"/>
    <n v="0"/>
    <x v="2"/>
    <s v="Skilled Manual"/>
    <s v="Yes"/>
    <n v="2"/>
    <s v="5-10 Miles"/>
    <x v="2"/>
    <x v="40"/>
    <x v="2"/>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No"/>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1"/>
    <x v="1"/>
  </r>
  <r>
    <n v="11303"/>
    <x v="1"/>
    <x v="0"/>
    <n v="90000"/>
    <n v="4"/>
    <x v="2"/>
    <s v="Professional"/>
    <s v="No"/>
    <n v="3"/>
    <s v="1-2 Miles"/>
    <x v="2"/>
    <x v="12"/>
    <x v="0"/>
    <x v="1"/>
  </r>
  <r>
    <n v="21693"/>
    <x v="1"/>
    <x v="0"/>
    <n v="60000"/>
    <n v="0"/>
    <x v="4"/>
    <s v="Skilled Manual"/>
    <s v="No"/>
    <n v="0"/>
    <s v="0-1 Miles"/>
    <x v="2"/>
    <x v="8"/>
    <x v="0"/>
    <x v="0"/>
  </r>
  <r>
    <n v="28056"/>
    <x v="0"/>
    <x v="1"/>
    <n v="70000"/>
    <n v="2"/>
    <x v="3"/>
    <s v="Skilled Manual"/>
    <s v="Yes"/>
    <n v="2"/>
    <s v="More than 10+ Miles"/>
    <x v="2"/>
    <x v="39"/>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1"/>
    <x v="0"/>
  </r>
  <r>
    <n v="17654"/>
    <x v="1"/>
    <x v="0"/>
    <n v="40000"/>
    <n v="3"/>
    <x v="1"/>
    <s v="Clerical"/>
    <s v="Yes"/>
    <n v="1"/>
    <s v="1-2 Miles"/>
    <x v="2"/>
    <x v="25"/>
    <x v="2"/>
    <x v="1"/>
  </r>
  <r>
    <n v="14662"/>
    <x v="0"/>
    <x v="1"/>
    <n v="60000"/>
    <n v="1"/>
    <x v="0"/>
    <s v="Professional"/>
    <s v="Yes"/>
    <n v="1"/>
    <s v="0-1 Miles"/>
    <x v="2"/>
    <x v="2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5"/>
    <x v="2"/>
    <x v="0"/>
  </r>
  <r>
    <n v="21940"/>
    <x v="0"/>
    <x v="1"/>
    <n v="90000"/>
    <n v="5"/>
    <x v="4"/>
    <s v="Professional"/>
    <s v="Yes"/>
    <n v="0"/>
    <s v="0-1 Miles"/>
    <x v="2"/>
    <x v="15"/>
    <x v="0"/>
    <x v="1"/>
  </r>
  <r>
    <n v="20196"/>
    <x v="0"/>
    <x v="1"/>
    <n v="60000"/>
    <n v="1"/>
    <x v="1"/>
    <s v="Skilled Manual"/>
    <s v="Yes"/>
    <n v="1"/>
    <s v="2-5 Miles"/>
    <x v="2"/>
    <x v="12"/>
    <x v="0"/>
    <x v="1"/>
  </r>
  <r>
    <n v="23491"/>
    <x v="1"/>
    <x v="1"/>
    <n v="100000"/>
    <n v="0"/>
    <x v="1"/>
    <s v="Professional"/>
    <s v="No"/>
    <n v="4"/>
    <s v="1-2 Miles"/>
    <x v="2"/>
    <x v="12"/>
    <x v="0"/>
    <x v="0"/>
  </r>
  <r>
    <n v="16651"/>
    <x v="0"/>
    <x v="0"/>
    <n v="120000"/>
    <n v="2"/>
    <x v="0"/>
    <s v="Management"/>
    <s v="Yes"/>
    <n v="3"/>
    <s v="5-10 Miles"/>
    <x v="2"/>
    <x v="24"/>
    <x v="1"/>
    <x v="0"/>
  </r>
  <r>
    <n v="16813"/>
    <x v="0"/>
    <x v="1"/>
    <n v="60000"/>
    <n v="2"/>
    <x v="1"/>
    <s v="Professional"/>
    <s v="Yes"/>
    <n v="2"/>
    <s v="More than 10+ Miles"/>
    <x v="2"/>
    <x v="10"/>
    <x v="1"/>
    <x v="0"/>
  </r>
  <r>
    <n v="16007"/>
    <x v="0"/>
    <x v="0"/>
    <n v="90000"/>
    <n v="5"/>
    <x v="0"/>
    <s v="Management"/>
    <s v="Yes"/>
    <n v="2"/>
    <s v="1-2 Miles"/>
    <x v="2"/>
    <x v="29"/>
    <x v="1"/>
    <x v="1"/>
  </r>
  <r>
    <n v="27434"/>
    <x v="1"/>
    <x v="1"/>
    <n v="70000"/>
    <n v="4"/>
    <x v="1"/>
    <s v="Professional"/>
    <s v="Yes"/>
    <n v="1"/>
    <s v="More than 10+ Miles"/>
    <x v="2"/>
    <x v="16"/>
    <x v="1"/>
    <x v="0"/>
  </r>
  <r>
    <n v="27756"/>
    <x v="1"/>
    <x v="0"/>
    <n v="50000"/>
    <n v="3"/>
    <x v="0"/>
    <s v="Skilled Manual"/>
    <s v="No"/>
    <n v="1"/>
    <s v="0-1 Miles"/>
    <x v="2"/>
    <x v="8"/>
    <x v="0"/>
    <x v="0"/>
  </r>
  <r>
    <n v="23818"/>
    <x v="0"/>
    <x v="0"/>
    <n v="50000"/>
    <n v="0"/>
    <x v="4"/>
    <s v="Skilled Manual"/>
    <s v="Yes"/>
    <n v="0"/>
    <s v="1-2 Miles"/>
    <x v="2"/>
    <x v="6"/>
    <x v="0"/>
    <x v="1"/>
  </r>
  <r>
    <n v="19012"/>
    <x v="0"/>
    <x v="1"/>
    <n v="80000"/>
    <n v="3"/>
    <x v="0"/>
    <s v="Management"/>
    <s v="Yes"/>
    <n v="1"/>
    <s v="1-2 Miles"/>
    <x v="2"/>
    <x v="16"/>
    <x v="1"/>
    <x v="0"/>
  </r>
  <r>
    <n v="18329"/>
    <x v="1"/>
    <x v="1"/>
    <n v="30000"/>
    <n v="0"/>
    <x v="3"/>
    <s v="Clerical"/>
    <s v="No"/>
    <n v="2"/>
    <s v="5-10 Miles"/>
    <x v="2"/>
    <x v="40"/>
    <x v="2"/>
    <x v="0"/>
  </r>
  <r>
    <n v="29037"/>
    <x v="0"/>
    <x v="1"/>
    <n v="60000"/>
    <n v="0"/>
    <x v="4"/>
    <s v="Professional"/>
    <s v="No"/>
    <n v="0"/>
    <s v="0-1 Miles"/>
    <x v="2"/>
    <x v="32"/>
    <x v="0"/>
    <x v="0"/>
  </r>
  <r>
    <n v="26576"/>
    <x v="0"/>
    <x v="0"/>
    <n v="60000"/>
    <n v="0"/>
    <x v="1"/>
    <s v="Skilled Manual"/>
    <s v="Yes"/>
    <n v="2"/>
    <s v="5-10 Miles"/>
    <x v="2"/>
    <x v="23"/>
    <x v="0"/>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9"/>
    <x v="0"/>
    <x v="1"/>
  </r>
  <r>
    <n v="20659"/>
    <x v="0"/>
    <x v="1"/>
    <n v="70000"/>
    <n v="3"/>
    <x v="4"/>
    <s v="Professional"/>
    <s v="Yes"/>
    <n v="0"/>
    <s v="0-1 Miles"/>
    <x v="2"/>
    <x v="11"/>
    <x v="0"/>
    <x v="1"/>
  </r>
  <r>
    <n v="28004"/>
    <x v="0"/>
    <x v="0"/>
    <n v="60000"/>
    <n v="3"/>
    <x v="0"/>
    <s v="Management"/>
    <s v="Yes"/>
    <n v="2"/>
    <s v="More than 10+ Miles"/>
    <x v="2"/>
    <x v="29"/>
    <x v="1"/>
    <x v="0"/>
  </r>
  <r>
    <n v="19741"/>
    <x v="1"/>
    <x v="0"/>
    <n v="80000"/>
    <n v="4"/>
    <x v="4"/>
    <s v="Management"/>
    <s v="Yes"/>
    <n v="2"/>
    <s v="5-10 Miles"/>
    <x v="2"/>
    <x v="27"/>
    <x v="1"/>
    <x v="0"/>
  </r>
  <r>
    <n v="17450"/>
    <x v="0"/>
    <x v="1"/>
    <n v="80000"/>
    <n v="5"/>
    <x v="1"/>
    <s v="Professional"/>
    <s v="Yes"/>
    <n v="3"/>
    <s v="5-10 Miles"/>
    <x v="2"/>
    <x v="12"/>
    <x v="0"/>
    <x v="0"/>
  </r>
  <r>
    <n v="17337"/>
    <x v="1"/>
    <x v="1"/>
    <n v="40000"/>
    <n v="0"/>
    <x v="2"/>
    <s v="Skilled Manual"/>
    <s v="Yes"/>
    <n v="1"/>
    <s v="5-10 Miles"/>
    <x v="2"/>
    <x v="23"/>
    <x v="0"/>
    <x v="0"/>
  </r>
  <r>
    <n v="18594"/>
    <x v="1"/>
    <x v="0"/>
    <n v="80000"/>
    <n v="3"/>
    <x v="0"/>
    <s v="Skilled Manual"/>
    <s v="Yes"/>
    <n v="3"/>
    <s v="More than 10+ Miles"/>
    <x v="2"/>
    <x v="8"/>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28"/>
    <x v="0"/>
    <x v="1"/>
  </r>
  <r>
    <n v="13920"/>
    <x v="1"/>
    <x v="0"/>
    <n v="50000"/>
    <n v="4"/>
    <x v="0"/>
    <s v="Skilled Manual"/>
    <s v="Yes"/>
    <n v="2"/>
    <s v="0-1 Miles"/>
    <x v="2"/>
    <x v="0"/>
    <x v="0"/>
    <x v="0"/>
  </r>
  <r>
    <n v="23704"/>
    <x v="1"/>
    <x v="1"/>
    <n v="40000"/>
    <n v="5"/>
    <x v="2"/>
    <s v="Professional"/>
    <s v="Yes"/>
    <n v="4"/>
    <s v="More than 10+ Miles"/>
    <x v="2"/>
    <x v="2"/>
    <x v="1"/>
    <x v="1"/>
  </r>
  <r>
    <n v="28972"/>
    <x v="1"/>
    <x v="0"/>
    <n v="60000"/>
    <n v="3"/>
    <x v="4"/>
    <s v="Management"/>
    <s v="Yes"/>
    <n v="2"/>
    <s v="More than 10+ Miles"/>
    <x v="2"/>
    <x v="29"/>
    <x v="1"/>
    <x v="0"/>
  </r>
  <r>
    <n v="22730"/>
    <x v="0"/>
    <x v="1"/>
    <n v="70000"/>
    <n v="5"/>
    <x v="0"/>
    <s v="Management"/>
    <s v="Yes"/>
    <n v="2"/>
    <s v="More than 10+ Miles"/>
    <x v="2"/>
    <x v="18"/>
    <x v="1"/>
    <x v="0"/>
  </r>
  <r>
    <n v="29134"/>
    <x v="0"/>
    <x v="1"/>
    <n v="60000"/>
    <n v="4"/>
    <x v="0"/>
    <s v="Skilled Manual"/>
    <s v="No"/>
    <n v="3"/>
    <s v="More than 10+ Miles"/>
    <x v="2"/>
    <x v="0"/>
    <x v="0"/>
    <x v="0"/>
  </r>
  <r>
    <n v="14332"/>
    <x v="1"/>
    <x v="0"/>
    <n v="30000"/>
    <n v="0"/>
    <x v="2"/>
    <s v="Skilled Manual"/>
    <s v="No"/>
    <n v="2"/>
    <s v="5-10 Miles"/>
    <x v="2"/>
    <x v="22"/>
    <x v="2"/>
    <x v="0"/>
  </r>
  <r>
    <n v="19117"/>
    <x v="1"/>
    <x v="0"/>
    <n v="60000"/>
    <n v="1"/>
    <x v="4"/>
    <s v="Professional"/>
    <s v="Yes"/>
    <n v="0"/>
    <s v="2-5 Miles"/>
    <x v="2"/>
    <x v="4"/>
    <x v="0"/>
    <x v="1"/>
  </r>
  <r>
    <n v="22864"/>
    <x v="0"/>
    <x v="1"/>
    <n v="90000"/>
    <n v="2"/>
    <x v="1"/>
    <s v="Professional"/>
    <s v="No"/>
    <n v="0"/>
    <s v="5-10 Miles"/>
    <x v="2"/>
    <x v="38"/>
    <x v="0"/>
    <x v="1"/>
  </r>
  <r>
    <n v="11292"/>
    <x v="1"/>
    <x v="1"/>
    <n v="150000"/>
    <n v="1"/>
    <x v="1"/>
    <s v="Professional"/>
    <s v="No"/>
    <n v="3"/>
    <s v="0-1 Miles"/>
    <x v="2"/>
    <x v="20"/>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More than 10+ Miles"/>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8">
  <r>
    <n v="12496"/>
    <x v="0"/>
    <s v="Female"/>
    <n v="40000"/>
    <n v="1"/>
    <s v="Bachelors"/>
    <s v="Skilled Manual"/>
    <s v="Yes"/>
    <n v="0"/>
    <x v="0"/>
    <s v="Europe"/>
    <n v="42"/>
    <s v="Middle Age 31-54"/>
    <x v="0"/>
  </r>
  <r>
    <n v="24107"/>
    <x v="0"/>
    <s v="Male"/>
    <n v="30000"/>
    <n v="3"/>
    <s v="Partial College"/>
    <s v="Clerical"/>
    <s v="Yes"/>
    <n v="1"/>
    <x v="0"/>
    <s v="Europe"/>
    <n v="43"/>
    <s v="Middle Age 31-54"/>
    <x v="0"/>
  </r>
  <r>
    <n v="14177"/>
    <x v="0"/>
    <s v="Male"/>
    <n v="80000"/>
    <n v="5"/>
    <s v="Partial College"/>
    <s v="Professional"/>
    <s v="No"/>
    <n v="2"/>
    <x v="1"/>
    <s v="Europe"/>
    <n v="60"/>
    <s v="Old 55+"/>
    <x v="0"/>
  </r>
  <r>
    <n v="24381"/>
    <x v="1"/>
    <s v="Male"/>
    <n v="70000"/>
    <n v="0"/>
    <s v="Bachelors"/>
    <s v="Professional"/>
    <s v="Yes"/>
    <n v="1"/>
    <x v="2"/>
    <s v="Pacific"/>
    <n v="41"/>
    <s v="Middle Age 31-54"/>
    <x v="1"/>
  </r>
  <r>
    <n v="25597"/>
    <x v="1"/>
    <s v="Male"/>
    <n v="30000"/>
    <n v="0"/>
    <s v="Bachelors"/>
    <s v="Clerical"/>
    <s v="No"/>
    <n v="0"/>
    <x v="0"/>
    <s v="Europe"/>
    <n v="36"/>
    <s v="Middle Age 31-54"/>
    <x v="1"/>
  </r>
  <r>
    <n v="13507"/>
    <x v="0"/>
    <s v="Female"/>
    <n v="10000"/>
    <n v="2"/>
    <s v="Partial College"/>
    <s v="Manual"/>
    <s v="Yes"/>
    <n v="0"/>
    <x v="3"/>
    <s v="Europe"/>
    <n v="50"/>
    <s v="Middle Age 31-54"/>
    <x v="0"/>
  </r>
  <r>
    <n v="27974"/>
    <x v="1"/>
    <s v="Male"/>
    <n v="160000"/>
    <n v="2"/>
    <s v="High School"/>
    <s v="Management"/>
    <s v="Yes"/>
    <n v="4"/>
    <x v="0"/>
    <s v="Pacific"/>
    <n v="33"/>
    <s v="Middle Age 31-54"/>
    <x v="1"/>
  </r>
  <r>
    <n v="19364"/>
    <x v="0"/>
    <s v="Male"/>
    <n v="40000"/>
    <n v="1"/>
    <s v="Bachelors"/>
    <s v="Skilled Manual"/>
    <s v="Yes"/>
    <n v="0"/>
    <x v="0"/>
    <s v="Europe"/>
    <n v="43"/>
    <s v="Middle Age 31-54"/>
    <x v="1"/>
  </r>
  <r>
    <n v="22155"/>
    <x v="0"/>
    <s v="Male"/>
    <n v="20000"/>
    <n v="2"/>
    <s v="Partial High School"/>
    <s v="Clerical"/>
    <s v="Yes"/>
    <n v="2"/>
    <x v="2"/>
    <s v="Pacific"/>
    <n v="58"/>
    <s v="Old 55+"/>
    <x v="0"/>
  </r>
  <r>
    <n v="19280"/>
    <x v="0"/>
    <s v="Male"/>
    <n v="120000"/>
    <n v="2"/>
    <s v="Partial College"/>
    <s v="Manual"/>
    <s v="Yes"/>
    <n v="1"/>
    <x v="0"/>
    <s v="Europe"/>
    <n v="40"/>
    <s v="Middle Age 31-54"/>
    <x v="1"/>
  </r>
  <r>
    <n v="22173"/>
    <x v="0"/>
    <s v="Female"/>
    <n v="30000"/>
    <n v="3"/>
    <s v="High School"/>
    <s v="Skilled Manual"/>
    <s v="No"/>
    <n v="2"/>
    <x v="3"/>
    <s v="Pacific"/>
    <n v="54"/>
    <s v="Middle Age 31-54"/>
    <x v="1"/>
  </r>
  <r>
    <n v="12697"/>
    <x v="1"/>
    <s v="Female"/>
    <n v="90000"/>
    <n v="0"/>
    <s v="Bachelors"/>
    <s v="Professional"/>
    <s v="No"/>
    <n v="4"/>
    <x v="4"/>
    <s v="Pacific"/>
    <n v="36"/>
    <s v="Middle Age 31-54"/>
    <x v="0"/>
  </r>
  <r>
    <n v="11434"/>
    <x v="0"/>
    <s v="Male"/>
    <n v="170000"/>
    <n v="5"/>
    <s v="Partial College"/>
    <s v="Professional"/>
    <s v="Yes"/>
    <n v="0"/>
    <x v="0"/>
    <s v="Europe"/>
    <n v="55"/>
    <s v="Old 55+"/>
    <x v="0"/>
  </r>
  <r>
    <n v="25323"/>
    <x v="0"/>
    <s v="Male"/>
    <n v="40000"/>
    <n v="2"/>
    <s v="Partial College"/>
    <s v="Clerical"/>
    <s v="Yes"/>
    <n v="1"/>
    <x v="3"/>
    <s v="Europe"/>
    <n v="35"/>
    <s v="Middle Age 31-54"/>
    <x v="1"/>
  </r>
  <r>
    <n v="23542"/>
    <x v="1"/>
    <s v="Male"/>
    <n v="60000"/>
    <n v="1"/>
    <s v="Partial College"/>
    <s v="Skilled Manual"/>
    <s v="No"/>
    <n v="1"/>
    <x v="0"/>
    <s v="Pacific"/>
    <n v="45"/>
    <s v="Middle Age 31-54"/>
    <x v="1"/>
  </r>
  <r>
    <n v="20870"/>
    <x v="1"/>
    <s v="Female"/>
    <n v="10000"/>
    <n v="2"/>
    <s v="High School"/>
    <s v="Manual"/>
    <s v="Yes"/>
    <n v="1"/>
    <x v="0"/>
    <s v="Europe"/>
    <n v="38"/>
    <s v="Middle Age 31-54"/>
    <x v="1"/>
  </r>
  <r>
    <n v="23316"/>
    <x v="1"/>
    <s v="Male"/>
    <n v="30000"/>
    <n v="3"/>
    <s v="Partial College"/>
    <s v="Clerical"/>
    <s v="No"/>
    <n v="2"/>
    <x v="3"/>
    <s v="Pacific"/>
    <n v="59"/>
    <s v="Old 55+"/>
    <x v="1"/>
  </r>
  <r>
    <n v="12610"/>
    <x v="0"/>
    <s v="Female"/>
    <n v="30000"/>
    <n v="1"/>
    <s v="Bachelors"/>
    <s v="Clerical"/>
    <s v="Yes"/>
    <n v="0"/>
    <x v="0"/>
    <s v="Europe"/>
    <n v="47"/>
    <s v="Middle Age 31-54"/>
    <x v="0"/>
  </r>
  <r>
    <n v="27183"/>
    <x v="1"/>
    <s v="Male"/>
    <n v="40000"/>
    <n v="2"/>
    <s v="Partial College"/>
    <s v="Clerical"/>
    <s v="Yes"/>
    <n v="1"/>
    <x v="3"/>
    <s v="Europe"/>
    <n v="35"/>
    <s v="Middle Age 31-54"/>
    <x v="1"/>
  </r>
  <r>
    <n v="25940"/>
    <x v="1"/>
    <s v="Male"/>
    <n v="20000"/>
    <n v="2"/>
    <s v="Partial High School"/>
    <s v="Clerical"/>
    <s v="Yes"/>
    <n v="2"/>
    <x v="2"/>
    <s v="Pacific"/>
    <n v="55"/>
    <s v="Old 55+"/>
    <x v="1"/>
  </r>
  <r>
    <n v="25598"/>
    <x v="0"/>
    <s v="Female"/>
    <n v="40000"/>
    <n v="0"/>
    <s v="Graduate Degree"/>
    <s v="Clerical"/>
    <s v="Yes"/>
    <n v="0"/>
    <x v="0"/>
    <s v="Europe"/>
    <n v="36"/>
    <s v="Middle Age 31-54"/>
    <x v="1"/>
  </r>
  <r>
    <n v="21564"/>
    <x v="1"/>
    <s v="Female"/>
    <n v="80000"/>
    <n v="0"/>
    <s v="Bachelors"/>
    <s v="Professional"/>
    <s v="Yes"/>
    <n v="4"/>
    <x v="4"/>
    <s v="Pacific"/>
    <n v="35"/>
    <s v="Middle Age 31-54"/>
    <x v="0"/>
  </r>
  <r>
    <n v="19193"/>
    <x v="1"/>
    <s v="Male"/>
    <n v="40000"/>
    <n v="2"/>
    <s v="Partial College"/>
    <s v="Clerical"/>
    <s v="Yes"/>
    <n v="0"/>
    <x v="3"/>
    <s v="Europe"/>
    <n v="35"/>
    <s v="Middle Age 31-54"/>
    <x v="1"/>
  </r>
  <r>
    <n v="26412"/>
    <x v="0"/>
    <s v="Female"/>
    <n v="80000"/>
    <n v="5"/>
    <s v="High School"/>
    <s v="Management"/>
    <s v="No"/>
    <n v="3"/>
    <x v="2"/>
    <s v="Europe"/>
    <n v="56"/>
    <s v="Old 55+"/>
    <x v="0"/>
  </r>
  <r>
    <n v="27184"/>
    <x v="1"/>
    <s v="Male"/>
    <n v="40000"/>
    <n v="2"/>
    <s v="Partial College"/>
    <s v="Clerical"/>
    <s v="No"/>
    <n v="1"/>
    <x v="0"/>
    <s v="Europe"/>
    <n v="34"/>
    <s v="Middle Age 31-54"/>
    <x v="0"/>
  </r>
  <r>
    <n v="12590"/>
    <x v="1"/>
    <s v="Male"/>
    <n v="30000"/>
    <n v="1"/>
    <s v="Bachelors"/>
    <s v="Clerical"/>
    <s v="Yes"/>
    <n v="0"/>
    <x v="0"/>
    <s v="Europe"/>
    <n v="63"/>
    <s v="Old 55+"/>
    <x v="0"/>
  </r>
  <r>
    <n v="17841"/>
    <x v="1"/>
    <s v="Male"/>
    <n v="30000"/>
    <n v="0"/>
    <s v="Partial College"/>
    <s v="Clerical"/>
    <s v="No"/>
    <n v="1"/>
    <x v="0"/>
    <s v="Europe"/>
    <n v="29"/>
    <s v="Adolescent 0-30"/>
    <x v="1"/>
  </r>
  <r>
    <n v="18283"/>
    <x v="1"/>
    <s v="Female"/>
    <n v="100000"/>
    <n v="0"/>
    <s v="Bachelors"/>
    <s v="Professional"/>
    <s v="No"/>
    <n v="1"/>
    <x v="2"/>
    <s v="Pacific"/>
    <n v="40"/>
    <s v="Middle Age 31-54"/>
    <x v="0"/>
  </r>
  <r>
    <n v="18299"/>
    <x v="0"/>
    <s v="Male"/>
    <n v="70000"/>
    <n v="5"/>
    <s v="Partial College"/>
    <s v="Skilled Manual"/>
    <s v="Yes"/>
    <n v="2"/>
    <x v="2"/>
    <s v="Pacific"/>
    <n v="44"/>
    <s v="Middle Age 31-54"/>
    <x v="0"/>
  </r>
  <r>
    <n v="16466"/>
    <x v="1"/>
    <s v="Female"/>
    <n v="20000"/>
    <n v="0"/>
    <s v="Partial High School"/>
    <s v="Manual"/>
    <s v="No"/>
    <n v="2"/>
    <x v="0"/>
    <s v="Europe"/>
    <n v="32"/>
    <s v="Middle Age 31-54"/>
    <x v="1"/>
  </r>
  <r>
    <n v="19273"/>
    <x v="0"/>
    <s v="Female"/>
    <n v="20000"/>
    <n v="2"/>
    <s v="Partial College"/>
    <s v="Manual"/>
    <s v="Yes"/>
    <n v="0"/>
    <x v="0"/>
    <s v="Europe"/>
    <n v="63"/>
    <s v="Old 55+"/>
    <x v="0"/>
  </r>
  <r>
    <n v="22400"/>
    <x v="0"/>
    <s v="Male"/>
    <n v="10000"/>
    <n v="0"/>
    <s v="Partial College"/>
    <s v="Manual"/>
    <s v="No"/>
    <n v="1"/>
    <x v="0"/>
    <s v="Pacific"/>
    <n v="26"/>
    <s v="Adolescent 0-30"/>
    <x v="1"/>
  </r>
  <r>
    <n v="20942"/>
    <x v="1"/>
    <s v="Female"/>
    <n v="20000"/>
    <n v="0"/>
    <s v="High School"/>
    <s v="Manual"/>
    <s v="No"/>
    <n v="1"/>
    <x v="2"/>
    <s v="Europe"/>
    <n v="31"/>
    <s v="Middle Age 31-54"/>
    <x v="0"/>
  </r>
  <r>
    <n v="18484"/>
    <x v="1"/>
    <s v="Male"/>
    <n v="80000"/>
    <n v="2"/>
    <s v="High School"/>
    <s v="Skilled Manual"/>
    <s v="No"/>
    <n v="2"/>
    <x v="3"/>
    <s v="Pacific"/>
    <n v="50"/>
    <s v="Middle Age 31-54"/>
    <x v="1"/>
  </r>
  <r>
    <n v="12291"/>
    <x v="1"/>
    <s v="Male"/>
    <n v="90000"/>
    <n v="5"/>
    <s v="Partial College"/>
    <s v="Professional"/>
    <s v="No"/>
    <n v="2"/>
    <x v="1"/>
    <s v="Europe"/>
    <n v="62"/>
    <s v="Old 55+"/>
    <x v="1"/>
  </r>
  <r>
    <n v="28380"/>
    <x v="1"/>
    <s v="Female"/>
    <n v="10000"/>
    <n v="5"/>
    <s v="Partial High School"/>
    <s v="Manual"/>
    <s v="No"/>
    <n v="2"/>
    <x v="0"/>
    <s v="Europe"/>
    <n v="41"/>
    <s v="Middle Age 31-54"/>
    <x v="0"/>
  </r>
  <r>
    <n v="17891"/>
    <x v="0"/>
    <s v="Female"/>
    <n v="10000"/>
    <n v="2"/>
    <s v="Partial College"/>
    <s v="Manual"/>
    <s v="Yes"/>
    <n v="1"/>
    <x v="0"/>
    <s v="Europe"/>
    <n v="50"/>
    <s v="Middle Age 31-54"/>
    <x v="1"/>
  </r>
  <r>
    <n v="27832"/>
    <x v="1"/>
    <s v="Female"/>
    <n v="30000"/>
    <n v="0"/>
    <s v="Partial College"/>
    <s v="Clerical"/>
    <s v="No"/>
    <n v="1"/>
    <x v="1"/>
    <s v="Europe"/>
    <n v="30"/>
    <s v="Adolescent 0-30"/>
    <x v="0"/>
  </r>
  <r>
    <n v="26863"/>
    <x v="1"/>
    <s v="Male"/>
    <n v="20000"/>
    <n v="0"/>
    <s v="High School"/>
    <s v="Manual"/>
    <s v="No"/>
    <n v="1"/>
    <x v="1"/>
    <s v="Europe"/>
    <n v="28"/>
    <s v="Adolescent 0-30"/>
    <x v="0"/>
  </r>
  <r>
    <n v="16259"/>
    <x v="1"/>
    <s v="Female"/>
    <n v="10000"/>
    <n v="4"/>
    <s v="Partial High School"/>
    <s v="Manual"/>
    <s v="Yes"/>
    <n v="2"/>
    <x v="0"/>
    <s v="Europe"/>
    <n v="40"/>
    <s v="Middle Age 31-54"/>
    <x v="1"/>
  </r>
  <r>
    <n v="27803"/>
    <x v="1"/>
    <s v="Female"/>
    <n v="30000"/>
    <n v="2"/>
    <s v="Partial College"/>
    <s v="Clerical"/>
    <s v="No"/>
    <n v="0"/>
    <x v="0"/>
    <s v="Europe"/>
    <n v="43"/>
    <s v="Middle Age 31-54"/>
    <x v="0"/>
  </r>
  <r>
    <n v="14347"/>
    <x v="1"/>
    <s v="Female"/>
    <n v="40000"/>
    <n v="2"/>
    <s v="Bachelors"/>
    <s v="Management"/>
    <s v="Yes"/>
    <n v="2"/>
    <x v="2"/>
    <s v="Pacific"/>
    <n v="65"/>
    <s v="Old 55+"/>
    <x v="1"/>
  </r>
  <r>
    <n v="17703"/>
    <x v="0"/>
    <s v="Female"/>
    <n v="10000"/>
    <n v="1"/>
    <s v="Graduate Degree"/>
    <s v="Manual"/>
    <s v="Yes"/>
    <n v="0"/>
    <x v="0"/>
    <s v="Europe"/>
    <n v="40"/>
    <s v="Middle Age 31-54"/>
    <x v="0"/>
  </r>
  <r>
    <n v="17185"/>
    <x v="0"/>
    <s v="Female"/>
    <n v="170000"/>
    <n v="4"/>
    <s v="Partial College"/>
    <s v="Professional"/>
    <s v="No"/>
    <n v="3"/>
    <x v="2"/>
    <s v="Europe"/>
    <n v="48"/>
    <s v="Middle Age 31-54"/>
    <x v="1"/>
  </r>
  <r>
    <n v="29380"/>
    <x v="0"/>
    <s v="Female"/>
    <n v="20000"/>
    <n v="3"/>
    <s v="High School"/>
    <s v="Manual"/>
    <s v="Yes"/>
    <n v="0"/>
    <x v="0"/>
    <s v="Europe"/>
    <n v="41"/>
    <s v="Middle Age 31-54"/>
    <x v="1"/>
  </r>
  <r>
    <n v="23986"/>
    <x v="0"/>
    <s v="Female"/>
    <n v="20000"/>
    <n v="1"/>
    <s v="Bachelors"/>
    <s v="Clerical"/>
    <s v="Yes"/>
    <n v="0"/>
    <x v="0"/>
    <s v="Europe"/>
    <n v="66"/>
    <s v="Old 55+"/>
    <x v="1"/>
  </r>
  <r>
    <n v="24466"/>
    <x v="0"/>
    <s v="Female"/>
    <n v="60000"/>
    <n v="1"/>
    <s v="Partial College"/>
    <s v="Skilled Manual"/>
    <s v="Yes"/>
    <n v="1"/>
    <x v="2"/>
    <s v="Pacific"/>
    <n v="46"/>
    <s v="Middle Age 31-54"/>
    <x v="1"/>
  </r>
  <r>
    <n v="29097"/>
    <x v="1"/>
    <s v="Female"/>
    <n v="40000"/>
    <n v="2"/>
    <s v="Partial College"/>
    <s v="Skilled Manual"/>
    <s v="Yes"/>
    <n v="2"/>
    <x v="2"/>
    <s v="Pacific"/>
    <n v="52"/>
    <s v="Middle Age 31-54"/>
    <x v="1"/>
  </r>
  <r>
    <n v="19487"/>
    <x v="0"/>
    <s v="Male"/>
    <n v="30000"/>
    <n v="2"/>
    <s v="Partial College"/>
    <s v="Clerical"/>
    <s v="No"/>
    <n v="2"/>
    <x v="0"/>
    <s v="Europe"/>
    <n v="42"/>
    <s v="Middle Age 31-54"/>
    <x v="0"/>
  </r>
  <r>
    <n v="14939"/>
    <x v="1"/>
    <s v="Male"/>
    <n v="40000"/>
    <n v="0"/>
    <s v="Bachelors"/>
    <s v="Clerical"/>
    <s v="Yes"/>
    <n v="0"/>
    <x v="0"/>
    <s v="Europe"/>
    <n v="39"/>
    <s v="Middle Age 31-54"/>
    <x v="1"/>
  </r>
  <r>
    <n v="13826"/>
    <x v="1"/>
    <s v="Female"/>
    <n v="30000"/>
    <n v="0"/>
    <s v="Partial College"/>
    <s v="Clerical"/>
    <s v="No"/>
    <n v="1"/>
    <x v="0"/>
    <s v="Europe"/>
    <n v="28"/>
    <s v="Adolescent 0-30"/>
    <x v="0"/>
  </r>
  <r>
    <n v="20619"/>
    <x v="1"/>
    <s v="Male"/>
    <n v="80000"/>
    <n v="0"/>
    <s v="Bachelors"/>
    <s v="Professional"/>
    <s v="No"/>
    <n v="4"/>
    <x v="4"/>
    <s v="Pacific"/>
    <n v="35"/>
    <s v="Middle Age 31-54"/>
    <x v="0"/>
  </r>
  <r>
    <n v="12558"/>
    <x v="0"/>
    <s v="Female"/>
    <n v="20000"/>
    <n v="1"/>
    <s v="Bachelors"/>
    <s v="Clerical"/>
    <s v="Yes"/>
    <n v="0"/>
    <x v="0"/>
    <s v="Europe"/>
    <n v="65"/>
    <s v="Old 55+"/>
    <x v="0"/>
  </r>
  <r>
    <n v="24871"/>
    <x v="1"/>
    <s v="Female"/>
    <n v="90000"/>
    <n v="4"/>
    <s v="High School"/>
    <s v="Management"/>
    <s v="No"/>
    <n v="3"/>
    <x v="2"/>
    <s v="Europe"/>
    <n v="56"/>
    <s v="Old 55+"/>
    <x v="0"/>
  </r>
  <r>
    <n v="17319"/>
    <x v="1"/>
    <s v="Female"/>
    <n v="70000"/>
    <n v="0"/>
    <s v="Bachelors"/>
    <s v="Professional"/>
    <s v="No"/>
    <n v="1"/>
    <x v="2"/>
    <s v="Pacific"/>
    <n v="42"/>
    <s v="Middle Age 31-54"/>
    <x v="0"/>
  </r>
  <r>
    <n v="28906"/>
    <x v="0"/>
    <s v="Male"/>
    <n v="80000"/>
    <n v="4"/>
    <s v="High School"/>
    <s v="Professional"/>
    <s v="Yes"/>
    <n v="2"/>
    <x v="4"/>
    <s v="Europe"/>
    <n v="54"/>
    <s v="Middle Age 31-54"/>
    <x v="0"/>
  </r>
  <r>
    <n v="12808"/>
    <x v="0"/>
    <s v="Male"/>
    <n v="40000"/>
    <n v="0"/>
    <s v="Bachelors"/>
    <s v="Clerical"/>
    <s v="Yes"/>
    <n v="0"/>
    <x v="0"/>
    <s v="Europe"/>
    <n v="38"/>
    <s v="Middle Age 31-54"/>
    <x v="1"/>
  </r>
  <r>
    <n v="20567"/>
    <x v="0"/>
    <s v="Male"/>
    <n v="130000"/>
    <n v="4"/>
    <s v="Partial College"/>
    <s v="Professional"/>
    <s v="No"/>
    <n v="4"/>
    <x v="2"/>
    <s v="Europe"/>
    <n v="61"/>
    <s v="Old 55+"/>
    <x v="1"/>
  </r>
  <r>
    <n v="25502"/>
    <x v="0"/>
    <s v="Female"/>
    <n v="40000"/>
    <n v="1"/>
    <s v="Bachelors"/>
    <s v="Skilled Manual"/>
    <s v="Yes"/>
    <n v="0"/>
    <x v="0"/>
    <s v="Europe"/>
    <n v="43"/>
    <s v="Middle Age 31-54"/>
    <x v="1"/>
  </r>
  <r>
    <n v="15580"/>
    <x v="0"/>
    <s v="Male"/>
    <n v="60000"/>
    <n v="2"/>
    <s v="Bachelors"/>
    <s v="Professional"/>
    <s v="Yes"/>
    <n v="1"/>
    <x v="1"/>
    <s v="Pacific"/>
    <n v="38"/>
    <s v="Middle Age 31-54"/>
    <x v="1"/>
  </r>
  <r>
    <n v="24185"/>
    <x v="1"/>
    <s v="Female"/>
    <n v="10000"/>
    <n v="1"/>
    <s v="High School"/>
    <s v="Manual"/>
    <s v="No"/>
    <n v="1"/>
    <x v="3"/>
    <s v="Europe"/>
    <n v="45"/>
    <s v="Middle Age 31-54"/>
    <x v="0"/>
  </r>
  <r>
    <n v="19291"/>
    <x v="1"/>
    <s v="Female"/>
    <n v="10000"/>
    <n v="2"/>
    <s v="High School"/>
    <s v="Manual"/>
    <s v="Yes"/>
    <n v="0"/>
    <x v="0"/>
    <s v="Europe"/>
    <n v="35"/>
    <s v="Middle Age 31-54"/>
    <x v="0"/>
  </r>
  <r>
    <n v="16713"/>
    <x v="0"/>
    <s v="Male"/>
    <n v="40000"/>
    <n v="2"/>
    <s v="Bachelors"/>
    <s v="Management"/>
    <s v="Yes"/>
    <n v="1"/>
    <x v="0"/>
    <s v="Pacific"/>
    <n v="52"/>
    <s v="Middle Age 31-54"/>
    <x v="1"/>
  </r>
  <r>
    <n v="16185"/>
    <x v="1"/>
    <s v="Male"/>
    <n v="60000"/>
    <n v="4"/>
    <s v="Bachelors"/>
    <s v="Professional"/>
    <s v="Yes"/>
    <n v="3"/>
    <x v="4"/>
    <s v="Pacific"/>
    <n v="41"/>
    <s v="Middle Age 31-54"/>
    <x v="0"/>
  </r>
  <r>
    <n v="14927"/>
    <x v="0"/>
    <s v="Female"/>
    <n v="30000"/>
    <n v="1"/>
    <s v="Bachelors"/>
    <s v="Clerical"/>
    <s v="Yes"/>
    <n v="0"/>
    <x v="0"/>
    <s v="Europe"/>
    <n v="37"/>
    <s v="Middle Age 31-54"/>
    <x v="1"/>
  </r>
  <r>
    <n v="29337"/>
    <x v="1"/>
    <s v="Male"/>
    <n v="30000"/>
    <n v="2"/>
    <s v="Partial College"/>
    <s v="Clerical"/>
    <s v="Yes"/>
    <n v="2"/>
    <x v="2"/>
    <s v="Pacific"/>
    <n v="68"/>
    <s v="Old 55+"/>
    <x v="0"/>
  </r>
  <r>
    <n v="29355"/>
    <x v="0"/>
    <s v="Female"/>
    <n v="40000"/>
    <n v="0"/>
    <s v="Graduate Degree"/>
    <s v="Clerical"/>
    <s v="Yes"/>
    <n v="0"/>
    <x v="0"/>
    <s v="Europe"/>
    <n v="37"/>
    <s v="Middle Age 31-54"/>
    <x v="1"/>
  </r>
  <r>
    <n v="25303"/>
    <x v="1"/>
    <s v="Male"/>
    <n v="30000"/>
    <n v="0"/>
    <s v="High School"/>
    <s v="Manual"/>
    <s v="Yes"/>
    <n v="1"/>
    <x v="1"/>
    <s v="Europe"/>
    <n v="33"/>
    <s v="Middle Age 31-54"/>
    <x v="1"/>
  </r>
  <r>
    <n v="14813"/>
    <x v="1"/>
    <s v="Female"/>
    <n v="20000"/>
    <n v="4"/>
    <s v="High School"/>
    <s v="Manual"/>
    <s v="Yes"/>
    <n v="1"/>
    <x v="0"/>
    <s v="Europe"/>
    <n v="43"/>
    <s v="Middle Age 31-54"/>
    <x v="1"/>
  </r>
  <r>
    <n v="16438"/>
    <x v="0"/>
    <s v="Female"/>
    <n v="10000"/>
    <n v="0"/>
    <s v="Partial High School"/>
    <s v="Manual"/>
    <s v="No"/>
    <n v="2"/>
    <x v="0"/>
    <s v="Europe"/>
    <n v="30"/>
    <s v="Adolescent 0-30"/>
    <x v="0"/>
  </r>
  <r>
    <n v="14238"/>
    <x v="0"/>
    <s v="Male"/>
    <n v="120000"/>
    <n v="0"/>
    <s v="Partial High School"/>
    <s v="Professional"/>
    <s v="Yes"/>
    <n v="4"/>
    <x v="4"/>
    <s v="Pacific"/>
    <n v="36"/>
    <s v="Middle Age 31-54"/>
    <x v="1"/>
  </r>
  <r>
    <n v="16200"/>
    <x v="1"/>
    <s v="Female"/>
    <n v="10000"/>
    <n v="0"/>
    <s v="Partial High School"/>
    <s v="Manual"/>
    <s v="No"/>
    <n v="2"/>
    <x v="0"/>
    <s v="Europe"/>
    <n v="35"/>
    <s v="Middle Age 31-54"/>
    <x v="0"/>
  </r>
  <r>
    <n v="24857"/>
    <x v="0"/>
    <s v="Female"/>
    <n v="130000"/>
    <n v="3"/>
    <s v="High School"/>
    <s v="Professional"/>
    <s v="Yes"/>
    <n v="4"/>
    <x v="0"/>
    <s v="Europe"/>
    <n v="52"/>
    <s v="Middle Age 31-54"/>
    <x v="0"/>
  </r>
  <r>
    <n v="26956"/>
    <x v="1"/>
    <s v="Female"/>
    <n v="20000"/>
    <n v="0"/>
    <s v="Partial College"/>
    <s v="Manual"/>
    <s v="No"/>
    <n v="1"/>
    <x v="1"/>
    <s v="Europe"/>
    <n v="36"/>
    <s v="Middle Age 31-54"/>
    <x v="1"/>
  </r>
  <r>
    <n v="14517"/>
    <x v="0"/>
    <s v="Female"/>
    <n v="20000"/>
    <n v="3"/>
    <s v="High School"/>
    <s v="Skilled Manual"/>
    <s v="No"/>
    <n v="2"/>
    <x v="3"/>
    <s v="Pacific"/>
    <n v="62"/>
    <s v="Old 55+"/>
    <x v="0"/>
  </r>
  <r>
    <n v="12678"/>
    <x v="1"/>
    <s v="Female"/>
    <n v="130000"/>
    <n v="4"/>
    <s v="High School"/>
    <s v="Management"/>
    <s v="Yes"/>
    <n v="4"/>
    <x v="0"/>
    <s v="Pacific"/>
    <n v="31"/>
    <s v="Middle Age 31-54"/>
    <x v="0"/>
  </r>
  <r>
    <n v="16188"/>
    <x v="1"/>
    <s v="Female"/>
    <n v="20000"/>
    <n v="0"/>
    <s v="Partial High School"/>
    <s v="Manual"/>
    <s v="No"/>
    <n v="2"/>
    <x v="3"/>
    <s v="Europe"/>
    <n v="26"/>
    <s v="Adolescent 0-30"/>
    <x v="0"/>
  </r>
  <r>
    <n v="27969"/>
    <x v="0"/>
    <s v="Male"/>
    <n v="80000"/>
    <n v="0"/>
    <s v="Bachelors"/>
    <s v="Professional"/>
    <s v="Yes"/>
    <n v="2"/>
    <x v="4"/>
    <s v="Pacific"/>
    <n v="29"/>
    <s v="Adolescent 0-30"/>
    <x v="1"/>
  </r>
  <r>
    <n v="15752"/>
    <x v="0"/>
    <s v="Male"/>
    <n v="80000"/>
    <n v="2"/>
    <s v="High School"/>
    <s v="Skilled Manual"/>
    <s v="No"/>
    <n v="2"/>
    <x v="3"/>
    <s v="Pacific"/>
    <n v="50"/>
    <s v="Middle Age 31-54"/>
    <x v="1"/>
  </r>
  <r>
    <n v="27745"/>
    <x v="1"/>
    <s v="Male"/>
    <n v="40000"/>
    <n v="2"/>
    <s v="Bachelors"/>
    <s v="Management"/>
    <s v="Yes"/>
    <n v="2"/>
    <x v="2"/>
    <s v="Pacific"/>
    <n v="63"/>
    <s v="Old 55+"/>
    <x v="1"/>
  </r>
  <r>
    <n v="20828"/>
    <x v="0"/>
    <s v="Female"/>
    <n v="30000"/>
    <n v="4"/>
    <s v="Graduate Degree"/>
    <s v="Clerical"/>
    <s v="Yes"/>
    <n v="0"/>
    <x v="0"/>
    <s v="Europe"/>
    <n v="45"/>
    <s v="Middle Age 31-54"/>
    <x v="1"/>
  </r>
  <r>
    <n v="19461"/>
    <x v="1"/>
    <s v="Female"/>
    <n v="10000"/>
    <n v="4"/>
    <s v="Partial High School"/>
    <s v="Manual"/>
    <s v="Yes"/>
    <n v="2"/>
    <x v="0"/>
    <s v="Europe"/>
    <n v="40"/>
    <s v="Middle Age 31-54"/>
    <x v="0"/>
  </r>
  <r>
    <n v="26941"/>
    <x v="0"/>
    <s v="Male"/>
    <n v="30000"/>
    <n v="0"/>
    <s v="Bachelors"/>
    <s v="Clerical"/>
    <s v="Yes"/>
    <n v="0"/>
    <x v="0"/>
    <s v="Europe"/>
    <n v="47"/>
    <s v="Middle Age 31-54"/>
    <x v="1"/>
  </r>
  <r>
    <n v="28412"/>
    <x v="1"/>
    <s v="Male"/>
    <n v="20000"/>
    <n v="0"/>
    <s v="High School"/>
    <s v="Manual"/>
    <s v="No"/>
    <n v="1"/>
    <x v="1"/>
    <s v="Europe"/>
    <n v="29"/>
    <s v="Adolescent 0-30"/>
    <x v="0"/>
  </r>
  <r>
    <n v="24485"/>
    <x v="1"/>
    <s v="Male"/>
    <n v="40000"/>
    <n v="2"/>
    <s v="Bachelors"/>
    <s v="Management"/>
    <s v="No"/>
    <n v="1"/>
    <x v="2"/>
    <s v="Pacific"/>
    <n v="52"/>
    <s v="Middle Age 31-54"/>
    <x v="1"/>
  </r>
  <r>
    <n v="16514"/>
    <x v="1"/>
    <s v="Male"/>
    <n v="10000"/>
    <n v="0"/>
    <s v="Partial College"/>
    <s v="Manual"/>
    <s v="Yes"/>
    <n v="1"/>
    <x v="3"/>
    <s v="Pacific"/>
    <n v="26"/>
    <s v="Adolescent 0-30"/>
    <x v="1"/>
  </r>
  <r>
    <n v="17191"/>
    <x v="1"/>
    <s v="Male"/>
    <n v="130000"/>
    <n v="3"/>
    <s v="Partial College"/>
    <s v="Professional"/>
    <s v="No"/>
    <n v="3"/>
    <x v="0"/>
    <s v="Europe"/>
    <n v="51"/>
    <s v="Middle Age 31-54"/>
    <x v="1"/>
  </r>
  <r>
    <n v="19608"/>
    <x v="0"/>
    <s v="Male"/>
    <n v="80000"/>
    <n v="5"/>
    <s v="Bachelors"/>
    <s v="Professional"/>
    <s v="Yes"/>
    <n v="4"/>
    <x v="3"/>
    <s v="Pacific"/>
    <n v="40"/>
    <s v="Middle Age 31-54"/>
    <x v="0"/>
  </r>
  <r>
    <n v="24119"/>
    <x v="1"/>
    <s v="Male"/>
    <n v="30000"/>
    <n v="0"/>
    <s v="Partial College"/>
    <s v="Clerical"/>
    <s v="No"/>
    <n v="1"/>
    <x v="1"/>
    <s v="Europe"/>
    <n v="29"/>
    <s v="Adolescent 0-30"/>
    <x v="0"/>
  </r>
  <r>
    <n v="25458"/>
    <x v="0"/>
    <s v="Male"/>
    <n v="20000"/>
    <n v="1"/>
    <s v="High School"/>
    <s v="Manual"/>
    <s v="No"/>
    <n v="1"/>
    <x v="3"/>
    <s v="Europe"/>
    <n v="40"/>
    <s v="Middle Age 31-54"/>
    <x v="1"/>
  </r>
  <r>
    <n v="26886"/>
    <x v="1"/>
    <s v="Female"/>
    <n v="30000"/>
    <n v="0"/>
    <s v="Partial College"/>
    <s v="Clerical"/>
    <s v="No"/>
    <n v="1"/>
    <x v="0"/>
    <s v="Europe"/>
    <n v="29"/>
    <s v="Adolescent 0-30"/>
    <x v="1"/>
  </r>
  <r>
    <n v="28436"/>
    <x v="1"/>
    <s v="Male"/>
    <n v="30000"/>
    <n v="0"/>
    <s v="Partial College"/>
    <s v="Clerical"/>
    <s v="No"/>
    <n v="1"/>
    <x v="0"/>
    <s v="Europe"/>
    <n v="30"/>
    <s v="Adolescent 0-30"/>
    <x v="1"/>
  </r>
  <r>
    <n v="19562"/>
    <x v="1"/>
    <s v="Female"/>
    <n v="60000"/>
    <n v="2"/>
    <s v="Bachelors"/>
    <s v="Professional"/>
    <s v="Yes"/>
    <n v="1"/>
    <x v="1"/>
    <s v="Pacific"/>
    <n v="37"/>
    <s v="Middle Age 31-54"/>
    <x v="1"/>
  </r>
  <r>
    <n v="15608"/>
    <x v="1"/>
    <s v="Female"/>
    <n v="30000"/>
    <n v="0"/>
    <s v="Partial College"/>
    <s v="Clerical"/>
    <s v="No"/>
    <n v="1"/>
    <x v="1"/>
    <s v="Europe"/>
    <n v="33"/>
    <s v="Middle Age 31-54"/>
    <x v="0"/>
  </r>
  <r>
    <n v="16487"/>
    <x v="1"/>
    <s v="Female"/>
    <n v="30000"/>
    <n v="3"/>
    <s v="High School"/>
    <s v="Skilled Manual"/>
    <s v="Yes"/>
    <n v="2"/>
    <x v="2"/>
    <s v="Pacific"/>
    <n v="55"/>
    <s v="Old 55+"/>
    <x v="0"/>
  </r>
  <r>
    <n v="17197"/>
    <x v="1"/>
    <s v="Female"/>
    <n v="90000"/>
    <n v="5"/>
    <s v="Partial College"/>
    <s v="Professional"/>
    <s v="Yes"/>
    <n v="2"/>
    <x v="4"/>
    <s v="Europe"/>
    <n v="62"/>
    <s v="Old 55+"/>
    <x v="0"/>
  </r>
  <r>
    <n v="12507"/>
    <x v="0"/>
    <s v="Male"/>
    <n v="30000"/>
    <n v="1"/>
    <s v="Partial College"/>
    <s v="Clerical"/>
    <s v="Yes"/>
    <n v="1"/>
    <x v="0"/>
    <s v="Europe"/>
    <n v="43"/>
    <s v="Middle Age 31-54"/>
    <x v="0"/>
  </r>
  <r>
    <n v="23940"/>
    <x v="0"/>
    <s v="Male"/>
    <n v="40000"/>
    <n v="1"/>
    <s v="Bachelors"/>
    <s v="Skilled Manual"/>
    <s v="Yes"/>
    <n v="1"/>
    <x v="0"/>
    <s v="Europe"/>
    <n v="44"/>
    <s v="Middle Age 31-54"/>
    <x v="1"/>
  </r>
  <r>
    <n v="19441"/>
    <x v="0"/>
    <s v="Male"/>
    <n v="40000"/>
    <n v="0"/>
    <s v="Graduate Degree"/>
    <s v="Clerical"/>
    <s v="Yes"/>
    <n v="0"/>
    <x v="0"/>
    <s v="Europe"/>
    <n v="25"/>
    <s v="Adolescent 0-30"/>
    <x v="1"/>
  </r>
  <r>
    <n v="26852"/>
    <x v="0"/>
    <s v="Female"/>
    <n v="20000"/>
    <n v="3"/>
    <s v="High School"/>
    <s v="Manual"/>
    <s v="Yes"/>
    <n v="2"/>
    <x v="0"/>
    <s v="Europe"/>
    <n v="43"/>
    <s v="Middle Age 31-54"/>
    <x v="0"/>
  </r>
  <r>
    <n v="12274"/>
    <x v="1"/>
    <s v="Male"/>
    <n v="10000"/>
    <n v="2"/>
    <s v="High School"/>
    <s v="Manual"/>
    <s v="Yes"/>
    <n v="0"/>
    <x v="0"/>
    <s v="Europe"/>
    <n v="35"/>
    <s v="Middle Age 31-54"/>
    <x v="0"/>
  </r>
  <r>
    <n v="20236"/>
    <x v="1"/>
    <s v="Male"/>
    <n v="60000"/>
    <n v="3"/>
    <s v="Bachelors"/>
    <s v="Professional"/>
    <s v="No"/>
    <n v="2"/>
    <x v="0"/>
    <s v="Pacific"/>
    <n v="43"/>
    <s v="Middle Age 31-54"/>
    <x v="1"/>
  </r>
  <r>
    <n v="24149"/>
    <x v="0"/>
    <s v="Male"/>
    <n v="10000"/>
    <n v="2"/>
    <s v="Partial College"/>
    <s v="Manual"/>
    <s v="Yes"/>
    <n v="0"/>
    <x v="3"/>
    <s v="Europe"/>
    <n v="49"/>
    <s v="Middle Age 31-54"/>
    <x v="0"/>
  </r>
  <r>
    <n v="26139"/>
    <x v="1"/>
    <s v="Male"/>
    <n v="60000"/>
    <n v="1"/>
    <s v="Partial College"/>
    <s v="Skilled Manual"/>
    <s v="Yes"/>
    <n v="1"/>
    <x v="2"/>
    <s v="Pacific"/>
    <n v="45"/>
    <s v="Middle Age 31-54"/>
    <x v="0"/>
  </r>
  <r>
    <n v="18491"/>
    <x v="1"/>
    <s v="Female"/>
    <n v="70000"/>
    <n v="2"/>
    <s v="High School"/>
    <s v="Professional"/>
    <s v="Yes"/>
    <n v="2"/>
    <x v="2"/>
    <s v="Pacific"/>
    <n v="49"/>
    <s v="Middle Age 31-54"/>
    <x v="1"/>
  </r>
  <r>
    <n v="22707"/>
    <x v="1"/>
    <s v="Female"/>
    <n v="30000"/>
    <n v="0"/>
    <s v="Partial College"/>
    <s v="Clerical"/>
    <s v="No"/>
    <n v="1"/>
    <x v="1"/>
    <s v="Europe"/>
    <n v="30"/>
    <s v="Adolescent 0-30"/>
    <x v="0"/>
  </r>
  <r>
    <n v="20430"/>
    <x v="0"/>
    <s v="Male"/>
    <n v="70000"/>
    <n v="2"/>
    <s v="Partial College"/>
    <s v="Skilled Manual"/>
    <s v="Yes"/>
    <n v="2"/>
    <x v="2"/>
    <s v="Pacific"/>
    <n v="52"/>
    <s v="Middle Age 31-54"/>
    <x v="1"/>
  </r>
  <r>
    <n v="27494"/>
    <x v="1"/>
    <s v="Female"/>
    <n v="40000"/>
    <n v="2"/>
    <s v="Partial College"/>
    <s v="Skilled Manual"/>
    <s v="No"/>
    <n v="2"/>
    <x v="3"/>
    <s v="Pacific"/>
    <n v="53"/>
    <s v="Middle Age 31-54"/>
    <x v="1"/>
  </r>
  <r>
    <n v="26829"/>
    <x v="0"/>
    <s v="Female"/>
    <n v="40000"/>
    <n v="0"/>
    <s v="Bachelors"/>
    <s v="Clerical"/>
    <s v="Yes"/>
    <n v="0"/>
    <x v="0"/>
    <s v="Europe"/>
    <n v="38"/>
    <s v="Middle Age 31-54"/>
    <x v="1"/>
  </r>
  <r>
    <n v="28395"/>
    <x v="1"/>
    <s v="Male"/>
    <n v="40000"/>
    <n v="0"/>
    <s v="Bachelors"/>
    <s v="Professional"/>
    <s v="No"/>
    <n v="0"/>
    <x v="0"/>
    <s v="Europe"/>
    <n v="39"/>
    <s v="Middle Age 31-54"/>
    <x v="1"/>
  </r>
  <r>
    <n v="21006"/>
    <x v="1"/>
    <s v="Female"/>
    <n v="30000"/>
    <n v="1"/>
    <s v="Partial College"/>
    <s v="Manual"/>
    <s v="No"/>
    <n v="0"/>
    <x v="0"/>
    <s v="Europe"/>
    <n v="46"/>
    <s v="Middle Age 31-54"/>
    <x v="1"/>
  </r>
  <r>
    <n v="14682"/>
    <x v="1"/>
    <s v="Female"/>
    <n v="70000"/>
    <n v="0"/>
    <s v="Bachelors"/>
    <s v="Professional"/>
    <s v="No"/>
    <n v="1"/>
    <x v="2"/>
    <s v="Pacific"/>
    <n v="38"/>
    <s v="Middle Age 31-54"/>
    <x v="0"/>
  </r>
  <r>
    <n v="17650"/>
    <x v="1"/>
    <s v="Female"/>
    <n v="40000"/>
    <n v="2"/>
    <s v="Partial College"/>
    <s v="Clerical"/>
    <s v="Yes"/>
    <n v="2"/>
    <x v="3"/>
    <s v="Europe"/>
    <n v="35"/>
    <s v="Middle Age 31-54"/>
    <x v="0"/>
  </r>
  <r>
    <n v="29191"/>
    <x v="1"/>
    <s v="Female"/>
    <n v="130000"/>
    <n v="1"/>
    <s v="Graduate Degree"/>
    <s v="Management"/>
    <s v="No"/>
    <n v="1"/>
    <x v="0"/>
    <s v="Pacific"/>
    <n v="36"/>
    <s v="Middle Age 31-54"/>
    <x v="1"/>
  </r>
  <r>
    <n v="15030"/>
    <x v="0"/>
    <s v="Male"/>
    <n v="20000"/>
    <n v="0"/>
    <s v="Bachelors"/>
    <s v="Clerical"/>
    <s v="Yes"/>
    <n v="0"/>
    <x v="0"/>
    <s v="Pacific"/>
    <n v="26"/>
    <s v="Adolescent 0-30"/>
    <x v="1"/>
  </r>
  <r>
    <n v="24140"/>
    <x v="1"/>
    <s v="Male"/>
    <n v="10000"/>
    <n v="0"/>
    <s v="Graduate Degree"/>
    <s v="Manual"/>
    <s v="No"/>
    <n v="0"/>
    <x v="0"/>
    <s v="Europe"/>
    <n v="30"/>
    <s v="Adolescent 0-30"/>
    <x v="1"/>
  </r>
  <r>
    <n v="22496"/>
    <x v="0"/>
    <s v="Female"/>
    <n v="30000"/>
    <n v="1"/>
    <s v="Bachelors"/>
    <s v="Skilled Manual"/>
    <s v="Yes"/>
    <n v="2"/>
    <x v="0"/>
    <s v="Europe"/>
    <n v="42"/>
    <s v="Middle Age 31-54"/>
    <x v="0"/>
  </r>
  <r>
    <n v="24065"/>
    <x v="1"/>
    <s v="Female"/>
    <n v="20000"/>
    <n v="0"/>
    <s v="High School"/>
    <s v="Manual"/>
    <s v="Yes"/>
    <n v="0"/>
    <x v="0"/>
    <s v="Europe"/>
    <n v="40"/>
    <s v="Middle Age 31-54"/>
    <x v="1"/>
  </r>
  <r>
    <n v="19914"/>
    <x v="0"/>
    <s v="Male"/>
    <n v="80000"/>
    <n v="5"/>
    <s v="Bachelors"/>
    <s v="Management"/>
    <s v="Yes"/>
    <n v="2"/>
    <x v="1"/>
    <s v="Europe"/>
    <n v="62"/>
    <s v="Old 55+"/>
    <x v="0"/>
  </r>
  <r>
    <n v="12871"/>
    <x v="1"/>
    <s v="Female"/>
    <n v="30000"/>
    <n v="0"/>
    <s v="Partial College"/>
    <s v="Clerical"/>
    <s v="No"/>
    <n v="1"/>
    <x v="1"/>
    <s v="Europe"/>
    <n v="29"/>
    <s v="Adolescent 0-30"/>
    <x v="0"/>
  </r>
  <r>
    <n v="22988"/>
    <x v="0"/>
    <s v="Female"/>
    <n v="40000"/>
    <n v="2"/>
    <s v="Bachelors"/>
    <s v="Management"/>
    <s v="Yes"/>
    <n v="2"/>
    <x v="2"/>
    <s v="Pacific"/>
    <n v="66"/>
    <s v="Old 55+"/>
    <x v="1"/>
  </r>
  <r>
    <n v="15922"/>
    <x v="0"/>
    <s v="Male"/>
    <n v="150000"/>
    <n v="2"/>
    <s v="High School"/>
    <s v="Professional"/>
    <s v="Yes"/>
    <n v="4"/>
    <x v="0"/>
    <s v="Europe"/>
    <n v="48"/>
    <s v="Middle Age 31-54"/>
    <x v="0"/>
  </r>
  <r>
    <n v="12344"/>
    <x v="1"/>
    <s v="Female"/>
    <n v="80000"/>
    <n v="0"/>
    <s v="Bachelors"/>
    <s v="Professional"/>
    <s v="No"/>
    <n v="3"/>
    <x v="4"/>
    <s v="Pacific"/>
    <n v="31"/>
    <s v="Middle Age 31-54"/>
    <x v="0"/>
  </r>
  <r>
    <n v="23627"/>
    <x v="1"/>
    <s v="Female"/>
    <n v="100000"/>
    <n v="3"/>
    <s v="Partial College"/>
    <s v="Management"/>
    <s v="No"/>
    <n v="4"/>
    <x v="2"/>
    <s v="Europe"/>
    <n v="56"/>
    <s v="Old 55+"/>
    <x v="0"/>
  </r>
  <r>
    <n v="27775"/>
    <x v="1"/>
    <s v="Female"/>
    <n v="40000"/>
    <n v="0"/>
    <s v="Bachelors"/>
    <s v="Clerical"/>
    <s v="No"/>
    <n v="0"/>
    <x v="0"/>
    <s v="Europe"/>
    <n v="38"/>
    <s v="Middle Age 31-54"/>
    <x v="1"/>
  </r>
  <r>
    <n v="29301"/>
    <x v="0"/>
    <s v="Male"/>
    <n v="80000"/>
    <n v="5"/>
    <s v="Bachelors"/>
    <s v="Professional"/>
    <s v="Yes"/>
    <n v="4"/>
    <x v="3"/>
    <s v="Pacific"/>
    <n v="40"/>
    <s v="Middle Age 31-54"/>
    <x v="0"/>
  </r>
  <r>
    <n v="12716"/>
    <x v="1"/>
    <s v="Male"/>
    <n v="30000"/>
    <n v="0"/>
    <s v="Partial College"/>
    <s v="Clerical"/>
    <s v="Yes"/>
    <n v="1"/>
    <x v="1"/>
    <s v="Europe"/>
    <n v="32"/>
    <s v="Middle Age 31-54"/>
    <x v="0"/>
  </r>
  <r>
    <n v="12472"/>
    <x v="0"/>
    <s v="Male"/>
    <n v="30000"/>
    <n v="1"/>
    <s v="Bachelors"/>
    <s v="Clerical"/>
    <s v="Yes"/>
    <n v="1"/>
    <x v="1"/>
    <s v="Europe"/>
    <n v="39"/>
    <s v="Middle Age 31-54"/>
    <x v="0"/>
  </r>
  <r>
    <n v="20970"/>
    <x v="1"/>
    <s v="Male"/>
    <n v="10000"/>
    <n v="2"/>
    <s v="Partial College"/>
    <s v="Manual"/>
    <s v="Yes"/>
    <n v="1"/>
    <x v="0"/>
    <s v="Europe"/>
    <n v="52"/>
    <s v="Middle Age 31-54"/>
    <x v="1"/>
  </r>
  <r>
    <n v="26818"/>
    <x v="1"/>
    <s v="Male"/>
    <n v="10000"/>
    <n v="3"/>
    <s v="High School"/>
    <s v="Manual"/>
    <s v="Yes"/>
    <n v="1"/>
    <x v="0"/>
    <s v="Europe"/>
    <n v="39"/>
    <s v="Middle Age 31-54"/>
    <x v="1"/>
  </r>
  <r>
    <n v="12993"/>
    <x v="0"/>
    <s v="Male"/>
    <n v="60000"/>
    <n v="2"/>
    <s v="Bachelors"/>
    <s v="Professional"/>
    <s v="Yes"/>
    <n v="1"/>
    <x v="1"/>
    <s v="Pacific"/>
    <n v="37"/>
    <s v="Middle Age 31-54"/>
    <x v="0"/>
  </r>
  <r>
    <n v="14192"/>
    <x v="0"/>
    <s v="Male"/>
    <n v="90000"/>
    <n v="4"/>
    <s v="High School"/>
    <s v="Management"/>
    <s v="Yes"/>
    <n v="3"/>
    <x v="2"/>
    <s v="Europe"/>
    <n v="56"/>
    <s v="Old 55+"/>
    <x v="1"/>
  </r>
  <r>
    <n v="19477"/>
    <x v="0"/>
    <s v="Male"/>
    <n v="40000"/>
    <n v="0"/>
    <s v="Bachelors"/>
    <s v="Professional"/>
    <s v="Yes"/>
    <n v="0"/>
    <x v="0"/>
    <s v="Europe"/>
    <n v="40"/>
    <s v="Middle Age 31-54"/>
    <x v="1"/>
  </r>
  <r>
    <n v="26796"/>
    <x v="1"/>
    <s v="Male"/>
    <n v="40000"/>
    <n v="2"/>
    <s v="Bachelors"/>
    <s v="Management"/>
    <s v="Yes"/>
    <n v="2"/>
    <x v="2"/>
    <s v="Pacific"/>
    <n v="65"/>
    <s v="Old 55+"/>
    <x v="1"/>
  </r>
  <r>
    <n v="21094"/>
    <x v="1"/>
    <s v="Female"/>
    <n v="30000"/>
    <n v="2"/>
    <s v="Partial College"/>
    <s v="Clerical"/>
    <s v="Yes"/>
    <n v="2"/>
    <x v="0"/>
    <s v="Europe"/>
    <n v="42"/>
    <s v="Middle Age 31-54"/>
    <x v="0"/>
  </r>
  <r>
    <n v="12234"/>
    <x v="0"/>
    <s v="Male"/>
    <n v="10000"/>
    <n v="2"/>
    <s v="Partial College"/>
    <s v="Manual"/>
    <s v="Yes"/>
    <n v="1"/>
    <x v="1"/>
    <s v="Europe"/>
    <n v="52"/>
    <s v="Middle Age 31-54"/>
    <x v="0"/>
  </r>
  <r>
    <n v="28683"/>
    <x v="1"/>
    <s v="Female"/>
    <n v="10000"/>
    <n v="1"/>
    <s v="High School"/>
    <s v="Manual"/>
    <s v="No"/>
    <n v="1"/>
    <x v="2"/>
    <s v="Europe"/>
    <n v="35"/>
    <s v="Middle Age 31-54"/>
    <x v="1"/>
  </r>
  <r>
    <n v="17994"/>
    <x v="1"/>
    <s v="Male"/>
    <n v="20000"/>
    <n v="2"/>
    <s v="High School"/>
    <s v="Manual"/>
    <s v="Yes"/>
    <n v="2"/>
    <x v="0"/>
    <s v="Europe"/>
    <n v="42"/>
    <s v="Middle Age 31-54"/>
    <x v="0"/>
  </r>
  <r>
    <n v="24273"/>
    <x v="0"/>
    <s v="Female"/>
    <n v="20000"/>
    <n v="2"/>
    <s v="Partial High School"/>
    <s v="Clerical"/>
    <s v="Yes"/>
    <n v="2"/>
    <x v="2"/>
    <s v="Pacific"/>
    <n v="55"/>
    <s v="Old 55+"/>
    <x v="1"/>
  </r>
  <r>
    <n v="26547"/>
    <x v="1"/>
    <s v="Female"/>
    <n v="30000"/>
    <n v="2"/>
    <s v="Partial College"/>
    <s v="Clerical"/>
    <s v="No"/>
    <n v="2"/>
    <x v="2"/>
    <s v="Pacific"/>
    <n v="60"/>
    <s v="Old 55+"/>
    <x v="1"/>
  </r>
  <r>
    <n v="22500"/>
    <x v="1"/>
    <s v="Male"/>
    <n v="40000"/>
    <n v="0"/>
    <s v="Bachelors"/>
    <s v="Professional"/>
    <s v="No"/>
    <n v="0"/>
    <x v="0"/>
    <s v="Europe"/>
    <n v="40"/>
    <s v="Middle Age 31-54"/>
    <x v="1"/>
  </r>
  <r>
    <n v="23993"/>
    <x v="1"/>
    <s v="Female"/>
    <n v="10000"/>
    <n v="0"/>
    <s v="Partial College"/>
    <s v="Manual"/>
    <s v="No"/>
    <n v="1"/>
    <x v="0"/>
    <s v="Pacific"/>
    <n v="26"/>
    <s v="Adolescent 0-30"/>
    <x v="1"/>
  </r>
  <r>
    <n v="14832"/>
    <x v="0"/>
    <s v="Male"/>
    <n v="40000"/>
    <n v="1"/>
    <s v="Bachelors"/>
    <s v="Skilled Manual"/>
    <s v="Yes"/>
    <n v="0"/>
    <x v="0"/>
    <s v="Europe"/>
    <n v="42"/>
    <s v="Middle Age 31-54"/>
    <x v="1"/>
  </r>
  <r>
    <n v="16614"/>
    <x v="0"/>
    <s v="Female"/>
    <n v="80000"/>
    <n v="0"/>
    <s v="Bachelors"/>
    <s v="Professional"/>
    <s v="Yes"/>
    <n v="3"/>
    <x v="4"/>
    <s v="Pacific"/>
    <n v="32"/>
    <s v="Middle Age 31-54"/>
    <x v="0"/>
  </r>
  <r>
    <n v="20877"/>
    <x v="1"/>
    <s v="Male"/>
    <n v="30000"/>
    <n v="1"/>
    <s v="Bachelors"/>
    <s v="Clerical"/>
    <s v="Yes"/>
    <n v="0"/>
    <x v="3"/>
    <s v="Europe"/>
    <n v="37"/>
    <s v="Middle Age 31-54"/>
    <x v="1"/>
  </r>
  <r>
    <n v="20729"/>
    <x v="0"/>
    <s v="Female"/>
    <n v="40000"/>
    <n v="2"/>
    <s v="Partial College"/>
    <s v="Clerical"/>
    <s v="No"/>
    <n v="1"/>
    <x v="0"/>
    <s v="Europe"/>
    <n v="34"/>
    <s v="Middle Age 31-54"/>
    <x v="0"/>
  </r>
  <r>
    <n v="22464"/>
    <x v="0"/>
    <s v="Male"/>
    <n v="40000"/>
    <n v="0"/>
    <s v="Graduate Degree"/>
    <s v="Clerical"/>
    <s v="Yes"/>
    <n v="0"/>
    <x v="0"/>
    <s v="Europe"/>
    <n v="37"/>
    <s v="Middle Age 31-54"/>
    <x v="1"/>
  </r>
  <r>
    <n v="19475"/>
    <x v="0"/>
    <s v="Female"/>
    <n v="40000"/>
    <n v="0"/>
    <s v="Bachelors"/>
    <s v="Professional"/>
    <s v="No"/>
    <n v="0"/>
    <x v="0"/>
    <s v="Europe"/>
    <n v="40"/>
    <s v="Middle Age 31-54"/>
    <x v="1"/>
  </r>
  <r>
    <n v="19675"/>
    <x v="0"/>
    <s v="Male"/>
    <n v="20000"/>
    <n v="4"/>
    <s v="High School"/>
    <s v="Skilled Manual"/>
    <s v="Yes"/>
    <n v="2"/>
    <x v="2"/>
    <s v="Pacific"/>
    <n v="60"/>
    <s v="Old 55+"/>
    <x v="0"/>
  </r>
  <r>
    <n v="12728"/>
    <x v="1"/>
    <s v="Male"/>
    <n v="30000"/>
    <n v="0"/>
    <s v="Partial College"/>
    <s v="Clerical"/>
    <s v="No"/>
    <n v="1"/>
    <x v="3"/>
    <s v="Europe"/>
    <n v="27"/>
    <s v="Adolescent 0-30"/>
    <x v="0"/>
  </r>
  <r>
    <n v="26154"/>
    <x v="0"/>
    <s v="Male"/>
    <n v="60000"/>
    <n v="1"/>
    <s v="Partial College"/>
    <s v="Skilled Manual"/>
    <s v="Yes"/>
    <n v="1"/>
    <x v="2"/>
    <s v="Pacific"/>
    <n v="43"/>
    <s v="Middle Age 31-54"/>
    <x v="1"/>
  </r>
  <r>
    <n v="29117"/>
    <x v="1"/>
    <s v="Male"/>
    <n v="100000"/>
    <n v="1"/>
    <s v="Bachelors"/>
    <s v="Management"/>
    <s v="No"/>
    <n v="3"/>
    <x v="0"/>
    <s v="Pacific"/>
    <n v="48"/>
    <s v="Middle Age 31-54"/>
    <x v="0"/>
  </r>
  <r>
    <n v="17845"/>
    <x v="1"/>
    <s v="Female"/>
    <n v="20000"/>
    <n v="0"/>
    <s v="Partial High School"/>
    <s v="Manual"/>
    <s v="No"/>
    <n v="2"/>
    <x v="3"/>
    <s v="Europe"/>
    <n v="32"/>
    <s v="Middle Age 31-54"/>
    <x v="0"/>
  </r>
  <r>
    <n v="25058"/>
    <x v="0"/>
    <s v="Male"/>
    <n v="100000"/>
    <n v="1"/>
    <s v="Bachelors"/>
    <s v="Management"/>
    <s v="Yes"/>
    <n v="3"/>
    <x v="1"/>
    <s v="Pacific"/>
    <n v="47"/>
    <s v="Middle Age 31-54"/>
    <x v="0"/>
  </r>
  <r>
    <n v="23426"/>
    <x v="1"/>
    <s v="Male"/>
    <n v="80000"/>
    <n v="5"/>
    <s v="Graduate Degree"/>
    <s v="Management"/>
    <s v="Yes"/>
    <n v="3"/>
    <x v="0"/>
    <s v="Pacific"/>
    <n v="40"/>
    <s v="Middle Age 31-54"/>
    <x v="0"/>
  </r>
  <r>
    <n v="14798"/>
    <x v="1"/>
    <s v="Female"/>
    <n v="10000"/>
    <n v="4"/>
    <s v="Partial High School"/>
    <s v="Manual"/>
    <s v="Yes"/>
    <n v="2"/>
    <x v="0"/>
    <s v="Europe"/>
    <n v="41"/>
    <s v="Middle Age 31-54"/>
    <x v="1"/>
  </r>
  <r>
    <n v="12664"/>
    <x v="0"/>
    <s v="Female"/>
    <n v="130000"/>
    <n v="5"/>
    <s v="Partial College"/>
    <s v="Professional"/>
    <s v="Yes"/>
    <n v="4"/>
    <x v="0"/>
    <s v="Europe"/>
    <n v="59"/>
    <s v="Old 55+"/>
    <x v="0"/>
  </r>
  <r>
    <n v="23979"/>
    <x v="1"/>
    <s v="Male"/>
    <n v="10000"/>
    <n v="2"/>
    <s v="Partial College"/>
    <s v="Manual"/>
    <s v="No"/>
    <n v="0"/>
    <x v="0"/>
    <s v="Europe"/>
    <n v="50"/>
    <s v="Middle Age 31-54"/>
    <x v="0"/>
  </r>
  <r>
    <n v="25605"/>
    <x v="1"/>
    <s v="Female"/>
    <n v="20000"/>
    <n v="2"/>
    <s v="Partial College"/>
    <s v="Manual"/>
    <s v="No"/>
    <n v="1"/>
    <x v="0"/>
    <s v="Europe"/>
    <n v="54"/>
    <s v="Middle Age 31-54"/>
    <x v="1"/>
  </r>
  <r>
    <n v="20797"/>
    <x v="0"/>
    <s v="Female"/>
    <n v="10000"/>
    <n v="1"/>
    <s v="Bachelors"/>
    <s v="Manual"/>
    <s v="Yes"/>
    <n v="0"/>
    <x v="0"/>
    <s v="Europe"/>
    <n v="48"/>
    <s v="Middle Age 31-54"/>
    <x v="0"/>
  </r>
  <r>
    <n v="21980"/>
    <x v="1"/>
    <s v="Female"/>
    <n v="60000"/>
    <n v="1"/>
    <s v="Bachelors"/>
    <s v="Professional"/>
    <s v="Yes"/>
    <n v="1"/>
    <x v="2"/>
    <s v="Pacific"/>
    <n v="44"/>
    <s v="Middle Age 31-54"/>
    <x v="1"/>
  </r>
  <r>
    <n v="25460"/>
    <x v="0"/>
    <s v="Female"/>
    <n v="20000"/>
    <n v="2"/>
    <s v="High School"/>
    <s v="Manual"/>
    <s v="Yes"/>
    <n v="0"/>
    <x v="0"/>
    <s v="Europe"/>
    <n v="40"/>
    <s v="Middle Age 31-54"/>
    <x v="1"/>
  </r>
  <r>
    <n v="29181"/>
    <x v="1"/>
    <s v="Female"/>
    <n v="60000"/>
    <n v="2"/>
    <s v="Bachelors"/>
    <s v="Professional"/>
    <s v="No"/>
    <n v="1"/>
    <x v="0"/>
    <s v="Pacific"/>
    <n v="38"/>
    <s v="Middle Age 31-54"/>
    <x v="1"/>
  </r>
  <r>
    <n v="24279"/>
    <x v="1"/>
    <s v="Male"/>
    <n v="40000"/>
    <n v="2"/>
    <s v="Partial College"/>
    <s v="Skilled Manual"/>
    <s v="No"/>
    <n v="2"/>
    <x v="3"/>
    <s v="Pacific"/>
    <n v="52"/>
    <s v="Middle Age 31-54"/>
    <x v="0"/>
  </r>
  <r>
    <n v="22402"/>
    <x v="0"/>
    <s v="Male"/>
    <n v="10000"/>
    <n v="0"/>
    <s v="Partial College"/>
    <s v="Manual"/>
    <s v="Yes"/>
    <n v="1"/>
    <x v="1"/>
    <s v="Pacific"/>
    <n v="25"/>
    <s v="Adolescent 0-30"/>
    <x v="1"/>
  </r>
  <r>
    <n v="15465"/>
    <x v="0"/>
    <s v="Female"/>
    <n v="10000"/>
    <n v="0"/>
    <s v="Partial College"/>
    <s v="Manual"/>
    <s v="No"/>
    <n v="1"/>
    <x v="0"/>
    <s v="Pacific"/>
    <n v="25"/>
    <s v="Adolescent 0-30"/>
    <x v="0"/>
  </r>
  <r>
    <n v="26757"/>
    <x v="1"/>
    <s v="Male"/>
    <n v="90000"/>
    <n v="1"/>
    <s v="Bachelors"/>
    <s v="Professional"/>
    <s v="Yes"/>
    <n v="1"/>
    <x v="1"/>
    <s v="Pacific"/>
    <n v="47"/>
    <s v="Middle Age 31-54"/>
    <x v="1"/>
  </r>
  <r>
    <n v="14233"/>
    <x v="1"/>
    <s v="Male"/>
    <n v="100000"/>
    <n v="0"/>
    <s v="High School"/>
    <s v="Management"/>
    <s v="Yes"/>
    <n v="3"/>
    <x v="4"/>
    <s v="Pacific"/>
    <n v="35"/>
    <s v="Middle Age 31-54"/>
    <x v="0"/>
  </r>
  <r>
    <n v="14058"/>
    <x v="1"/>
    <s v="Male"/>
    <n v="70000"/>
    <n v="0"/>
    <s v="Bachelors"/>
    <s v="Professional"/>
    <s v="No"/>
    <n v="1"/>
    <x v="2"/>
    <s v="Pacific"/>
    <n v="41"/>
    <s v="Middle Age 31-54"/>
    <x v="1"/>
  </r>
  <r>
    <n v="12273"/>
    <x v="0"/>
    <s v="Male"/>
    <n v="30000"/>
    <n v="1"/>
    <s v="Bachelors"/>
    <s v="Clerical"/>
    <s v="Yes"/>
    <n v="0"/>
    <x v="0"/>
    <s v="Europe"/>
    <n v="47"/>
    <s v="Middle Age 31-54"/>
    <x v="0"/>
  </r>
  <r>
    <n v="17203"/>
    <x v="0"/>
    <s v="Female"/>
    <n v="130000"/>
    <n v="4"/>
    <s v="Partial College"/>
    <s v="Professional"/>
    <s v="Yes"/>
    <n v="4"/>
    <x v="2"/>
    <s v="Europe"/>
    <n v="61"/>
    <s v="Old 55+"/>
    <x v="1"/>
  </r>
  <r>
    <n v="18144"/>
    <x v="0"/>
    <s v="Female"/>
    <n v="80000"/>
    <n v="5"/>
    <s v="Bachelors"/>
    <s v="Management"/>
    <s v="Yes"/>
    <n v="2"/>
    <x v="1"/>
    <s v="Europe"/>
    <n v="61"/>
    <s v="Old 55+"/>
    <x v="0"/>
  </r>
  <r>
    <n v="23963"/>
    <x v="0"/>
    <s v="Male"/>
    <n v="10000"/>
    <n v="0"/>
    <s v="Partial High School"/>
    <s v="Manual"/>
    <s v="No"/>
    <n v="2"/>
    <x v="0"/>
    <s v="Europe"/>
    <n v="33"/>
    <s v="Middle Age 31-54"/>
    <x v="0"/>
  </r>
  <r>
    <n v="17907"/>
    <x v="0"/>
    <s v="Female"/>
    <n v="10000"/>
    <n v="0"/>
    <s v="Partial College"/>
    <s v="Manual"/>
    <s v="Yes"/>
    <n v="1"/>
    <x v="1"/>
    <s v="Pacific"/>
    <n v="27"/>
    <s v="Adolescent 0-30"/>
    <x v="0"/>
  </r>
  <r>
    <n v="19442"/>
    <x v="1"/>
    <s v="Male"/>
    <n v="50000"/>
    <n v="0"/>
    <s v="Graduate Degree"/>
    <s v="Skilled Manual"/>
    <s v="Yes"/>
    <n v="0"/>
    <x v="0"/>
    <s v="Europe"/>
    <n v="37"/>
    <s v="Middle Age 31-54"/>
    <x v="1"/>
  </r>
  <r>
    <n v="17504"/>
    <x v="1"/>
    <s v="Female"/>
    <n v="80000"/>
    <n v="2"/>
    <s v="Partial College"/>
    <s v="Skilled Manual"/>
    <s v="Yes"/>
    <n v="2"/>
    <x v="2"/>
    <s v="Pacific"/>
    <n v="52"/>
    <s v="Middle Age 31-54"/>
    <x v="1"/>
  </r>
  <r>
    <n v="12253"/>
    <x v="1"/>
    <s v="Female"/>
    <n v="20000"/>
    <n v="0"/>
    <s v="Partial College"/>
    <s v="Manual"/>
    <s v="Yes"/>
    <n v="0"/>
    <x v="0"/>
    <s v="Pacific"/>
    <n v="29"/>
    <s v="Adolescent 0-30"/>
    <x v="1"/>
  </r>
  <r>
    <n v="27304"/>
    <x v="1"/>
    <s v="Female"/>
    <n v="110000"/>
    <n v="2"/>
    <s v="Partial College"/>
    <s v="Professional"/>
    <s v="No"/>
    <n v="3"/>
    <x v="2"/>
    <s v="Europe"/>
    <n v="48"/>
    <s v="Middle Age 31-54"/>
    <x v="0"/>
  </r>
  <r>
    <n v="14191"/>
    <x v="0"/>
    <s v="Male"/>
    <n v="160000"/>
    <n v="4"/>
    <s v="Partial College"/>
    <s v="Professional"/>
    <s v="No"/>
    <n v="2"/>
    <x v="4"/>
    <s v="Europe"/>
    <n v="55"/>
    <s v="Old 55+"/>
    <x v="1"/>
  </r>
  <r>
    <n v="12212"/>
    <x v="0"/>
    <s v="Female"/>
    <n v="10000"/>
    <n v="0"/>
    <s v="Graduate Degree"/>
    <s v="Manual"/>
    <s v="Yes"/>
    <n v="0"/>
    <x v="0"/>
    <s v="Europe"/>
    <n v="37"/>
    <s v="Middle Age 31-54"/>
    <x v="1"/>
  </r>
  <r>
    <n v="25529"/>
    <x v="1"/>
    <s v="Male"/>
    <n v="10000"/>
    <n v="1"/>
    <s v="Graduate Degree"/>
    <s v="Manual"/>
    <s v="Yes"/>
    <n v="0"/>
    <x v="0"/>
    <s v="Europe"/>
    <n v="44"/>
    <s v="Middle Age 31-54"/>
    <x v="0"/>
  </r>
  <r>
    <n v="22170"/>
    <x v="0"/>
    <s v="Female"/>
    <n v="30000"/>
    <n v="3"/>
    <s v="Partial College"/>
    <s v="Clerical"/>
    <s v="No"/>
    <n v="2"/>
    <x v="3"/>
    <s v="Pacific"/>
    <n v="55"/>
    <s v="Old 55+"/>
    <x v="1"/>
  </r>
  <r>
    <n v="19445"/>
    <x v="0"/>
    <s v="Female"/>
    <n v="10000"/>
    <n v="2"/>
    <s v="High School"/>
    <s v="Manual"/>
    <s v="No"/>
    <n v="1"/>
    <x v="0"/>
    <s v="Europe"/>
    <n v="38"/>
    <s v="Middle Age 31-54"/>
    <x v="0"/>
  </r>
  <r>
    <n v="15265"/>
    <x v="1"/>
    <s v="Male"/>
    <n v="40000"/>
    <n v="2"/>
    <s v="Bachelors"/>
    <s v="Management"/>
    <s v="Yes"/>
    <n v="2"/>
    <x v="2"/>
    <s v="Pacific"/>
    <n v="66"/>
    <s v="Old 55+"/>
    <x v="1"/>
  </r>
  <r>
    <n v="28918"/>
    <x v="0"/>
    <s v="Female"/>
    <n v="130000"/>
    <n v="4"/>
    <s v="High School"/>
    <s v="Management"/>
    <s v="No"/>
    <n v="4"/>
    <x v="4"/>
    <s v="Europe"/>
    <n v="58"/>
    <s v="Old 55+"/>
    <x v="0"/>
  </r>
  <r>
    <n v="15799"/>
    <x v="0"/>
    <s v="Female"/>
    <n v="90000"/>
    <n v="1"/>
    <s v="Bachelors"/>
    <s v="Professional"/>
    <s v="Yes"/>
    <n v="1"/>
    <x v="1"/>
    <s v="Pacific"/>
    <n v="47"/>
    <s v="Middle Age 31-54"/>
    <x v="1"/>
  </r>
  <r>
    <n v="11047"/>
    <x v="0"/>
    <s v="Female"/>
    <n v="30000"/>
    <n v="3"/>
    <s v="High School"/>
    <s v="Skilled Manual"/>
    <s v="No"/>
    <n v="2"/>
    <x v="3"/>
    <s v="Pacific"/>
    <n v="56"/>
    <s v="Old 55+"/>
    <x v="1"/>
  </r>
  <r>
    <n v="18151"/>
    <x v="1"/>
    <s v="Male"/>
    <n v="80000"/>
    <n v="5"/>
    <s v="Partial College"/>
    <s v="Professional"/>
    <s v="No"/>
    <n v="2"/>
    <x v="4"/>
    <s v="Europe"/>
    <n v="59"/>
    <s v="Old 55+"/>
    <x v="0"/>
  </r>
  <r>
    <n v="20606"/>
    <x v="0"/>
    <s v="Female"/>
    <n v="70000"/>
    <n v="0"/>
    <s v="Bachelors"/>
    <s v="Professional"/>
    <s v="Yes"/>
    <n v="4"/>
    <x v="4"/>
    <s v="Pacific"/>
    <n v="32"/>
    <s v="Middle Age 31-54"/>
    <x v="1"/>
  </r>
  <r>
    <n v="19482"/>
    <x v="0"/>
    <s v="Male"/>
    <n v="30000"/>
    <n v="1"/>
    <s v="Partial College"/>
    <s v="Clerical"/>
    <s v="Yes"/>
    <n v="1"/>
    <x v="0"/>
    <s v="Europe"/>
    <n v="44"/>
    <s v="Middle Age 31-54"/>
    <x v="1"/>
  </r>
  <r>
    <n v="16489"/>
    <x v="0"/>
    <s v="Male"/>
    <n v="30000"/>
    <n v="3"/>
    <s v="High School"/>
    <s v="Skilled Manual"/>
    <s v="Yes"/>
    <n v="2"/>
    <x v="2"/>
    <s v="Pacific"/>
    <n v="55"/>
    <s v="Old 55+"/>
    <x v="0"/>
  </r>
  <r>
    <n v="26944"/>
    <x v="1"/>
    <s v="Male"/>
    <n v="90000"/>
    <n v="2"/>
    <s v="High School"/>
    <s v="Manual"/>
    <s v="Yes"/>
    <n v="0"/>
    <x v="0"/>
    <s v="Europe"/>
    <n v="36"/>
    <s v="Middle Age 31-54"/>
    <x v="1"/>
  </r>
  <r>
    <n v="15682"/>
    <x v="1"/>
    <s v="Female"/>
    <n v="80000"/>
    <n v="5"/>
    <s v="Bachelors"/>
    <s v="Management"/>
    <s v="Yes"/>
    <n v="2"/>
    <x v="4"/>
    <s v="Europe"/>
    <n v="62"/>
    <s v="Old 55+"/>
    <x v="0"/>
  </r>
  <r>
    <n v="26032"/>
    <x v="0"/>
    <s v="Female"/>
    <n v="70000"/>
    <n v="5"/>
    <s v="Bachelors"/>
    <s v="Professional"/>
    <s v="Yes"/>
    <n v="4"/>
    <x v="4"/>
    <s v="Pacific"/>
    <n v="41"/>
    <s v="Middle Age 31-54"/>
    <x v="0"/>
  </r>
  <r>
    <n v="17843"/>
    <x v="1"/>
    <s v="Female"/>
    <n v="10000"/>
    <n v="0"/>
    <s v="Partial High School"/>
    <s v="Manual"/>
    <s v="No"/>
    <n v="2"/>
    <x v="0"/>
    <s v="Europe"/>
    <n v="32"/>
    <s v="Middle Age 31-54"/>
    <x v="0"/>
  </r>
  <r>
    <n v="25559"/>
    <x v="1"/>
    <s v="Male"/>
    <n v="20000"/>
    <n v="0"/>
    <s v="Bachelors"/>
    <s v="Clerical"/>
    <s v="Yes"/>
    <n v="0"/>
    <x v="0"/>
    <s v="Pacific"/>
    <n v="25"/>
    <s v="Adolescent 0-30"/>
    <x v="1"/>
  </r>
  <r>
    <n v="16209"/>
    <x v="1"/>
    <s v="Female"/>
    <n v="50000"/>
    <n v="0"/>
    <s v="Graduate Degree"/>
    <s v="Skilled Manual"/>
    <s v="Yes"/>
    <n v="0"/>
    <x v="3"/>
    <s v="Europe"/>
    <n v="36"/>
    <s v="Middle Age 31-54"/>
    <x v="0"/>
  </r>
  <r>
    <n v="11147"/>
    <x v="0"/>
    <s v="Male"/>
    <n v="60000"/>
    <n v="2"/>
    <s v="Graduate Degree"/>
    <s v="Management"/>
    <s v="Yes"/>
    <n v="1"/>
    <x v="0"/>
    <s v="Pacific"/>
    <n v="67"/>
    <s v="Old 55+"/>
    <x v="1"/>
  </r>
  <r>
    <n v="15214"/>
    <x v="1"/>
    <s v="Female"/>
    <n v="100000"/>
    <n v="0"/>
    <s v="Graduate Degree"/>
    <s v="Management"/>
    <s v="No"/>
    <n v="1"/>
    <x v="3"/>
    <s v="Pacific"/>
    <n v="39"/>
    <s v="Middle Age 31-54"/>
    <x v="1"/>
  </r>
  <r>
    <n v="11453"/>
    <x v="1"/>
    <s v="Male"/>
    <n v="80000"/>
    <n v="0"/>
    <s v="Bachelors"/>
    <s v="Professional"/>
    <s v="No"/>
    <n v="3"/>
    <x v="4"/>
    <s v="Pacific"/>
    <n v="33"/>
    <s v="Middle Age 31-54"/>
    <x v="1"/>
  </r>
  <r>
    <n v="24584"/>
    <x v="1"/>
    <s v="Male"/>
    <n v="60000"/>
    <n v="0"/>
    <s v="Bachelors"/>
    <s v="Professional"/>
    <s v="No"/>
    <n v="3"/>
    <x v="1"/>
    <s v="Pacific"/>
    <n v="31"/>
    <s v="Middle Age 31-54"/>
    <x v="0"/>
  </r>
  <r>
    <n v="12585"/>
    <x v="0"/>
    <s v="Male"/>
    <n v="10000"/>
    <n v="1"/>
    <s v="High School"/>
    <s v="Manual"/>
    <s v="Yes"/>
    <n v="0"/>
    <x v="1"/>
    <s v="Pacific"/>
    <n v="27"/>
    <s v="Adolescent 0-30"/>
    <x v="1"/>
  </r>
  <r>
    <n v="18626"/>
    <x v="1"/>
    <s v="Male"/>
    <n v="40000"/>
    <n v="2"/>
    <s v="Partial College"/>
    <s v="Clerical"/>
    <s v="Yes"/>
    <n v="0"/>
    <x v="3"/>
    <s v="Europe"/>
    <n v="33"/>
    <s v="Middle Age 31-54"/>
    <x v="1"/>
  </r>
  <r>
    <n v="29298"/>
    <x v="1"/>
    <s v="Female"/>
    <n v="60000"/>
    <n v="1"/>
    <s v="Partial College"/>
    <s v="Skilled Manual"/>
    <s v="Yes"/>
    <n v="1"/>
    <x v="2"/>
    <s v="Pacific"/>
    <n v="46"/>
    <s v="Middle Age 31-54"/>
    <x v="1"/>
  </r>
  <r>
    <n v="24842"/>
    <x v="1"/>
    <s v="Female"/>
    <n v="90000"/>
    <n v="3"/>
    <s v="High School"/>
    <s v="Professional"/>
    <s v="No"/>
    <n v="1"/>
    <x v="1"/>
    <s v="Europe"/>
    <n v="51"/>
    <s v="Middle Age 31-54"/>
    <x v="0"/>
  </r>
  <r>
    <n v="15657"/>
    <x v="0"/>
    <s v="Male"/>
    <n v="30000"/>
    <n v="3"/>
    <s v="Graduate Degree"/>
    <s v="Clerical"/>
    <s v="Yes"/>
    <n v="0"/>
    <x v="0"/>
    <s v="Europe"/>
    <n v="46"/>
    <s v="Middle Age 31-54"/>
    <x v="1"/>
  </r>
  <r>
    <n v="11415"/>
    <x v="1"/>
    <s v="Male"/>
    <n v="90000"/>
    <n v="5"/>
    <s v="Partial College"/>
    <s v="Professional"/>
    <s v="No"/>
    <n v="2"/>
    <x v="4"/>
    <s v="Europe"/>
    <n v="62"/>
    <s v="Old 55+"/>
    <x v="0"/>
  </r>
  <r>
    <n v="28729"/>
    <x v="1"/>
    <s v="Female"/>
    <n v="20000"/>
    <n v="0"/>
    <s v="Partial High School"/>
    <s v="Manual"/>
    <s v="Yes"/>
    <n v="2"/>
    <x v="3"/>
    <s v="Europe"/>
    <n v="26"/>
    <s v="Adolescent 0-30"/>
    <x v="1"/>
  </r>
  <r>
    <n v="22633"/>
    <x v="1"/>
    <s v="Female"/>
    <n v="40000"/>
    <n v="0"/>
    <s v="Graduate Degree"/>
    <s v="Clerical"/>
    <s v="Yes"/>
    <n v="0"/>
    <x v="0"/>
    <s v="Europe"/>
    <n v="37"/>
    <s v="Middle Age 31-54"/>
    <x v="1"/>
  </r>
  <r>
    <n v="25649"/>
    <x v="1"/>
    <s v="Female"/>
    <n v="30000"/>
    <n v="3"/>
    <s v="Partial College"/>
    <s v="Clerical"/>
    <s v="Yes"/>
    <n v="0"/>
    <x v="0"/>
    <s v="Europe"/>
    <n v="42"/>
    <s v="Middle Age 31-54"/>
    <x v="1"/>
  </r>
  <r>
    <n v="14669"/>
    <x v="0"/>
    <s v="Female"/>
    <n v="80000"/>
    <n v="4"/>
    <s v="Graduate Degree"/>
    <s v="Management"/>
    <s v="Yes"/>
    <n v="1"/>
    <x v="0"/>
    <s v="Pacific"/>
    <n v="36"/>
    <s v="Middle Age 31-54"/>
    <x v="0"/>
  </r>
  <r>
    <n v="19299"/>
    <x v="0"/>
    <s v="Female"/>
    <n v="50000"/>
    <n v="0"/>
    <s v="Graduate Degree"/>
    <s v="Skilled Manual"/>
    <s v="Yes"/>
    <n v="0"/>
    <x v="0"/>
    <s v="Europe"/>
    <n v="36"/>
    <s v="Middle Age 31-54"/>
    <x v="1"/>
  </r>
  <r>
    <n v="20946"/>
    <x v="1"/>
    <s v="Female"/>
    <n v="30000"/>
    <n v="0"/>
    <s v="Partial College"/>
    <s v="Clerical"/>
    <s v="No"/>
    <n v="1"/>
    <x v="1"/>
    <s v="Europe"/>
    <n v="30"/>
    <s v="Adolescent 0-30"/>
    <x v="0"/>
  </r>
  <r>
    <n v="11451"/>
    <x v="1"/>
    <s v="Male"/>
    <n v="70000"/>
    <n v="0"/>
    <s v="Bachelors"/>
    <s v="Professional"/>
    <s v="No"/>
    <n v="4"/>
    <x v="4"/>
    <s v="Pacific"/>
    <n v="31"/>
    <s v="Middle Age 31-54"/>
    <x v="1"/>
  </r>
  <r>
    <n v="25553"/>
    <x v="0"/>
    <s v="Male"/>
    <n v="30000"/>
    <n v="1"/>
    <s v="Bachelors"/>
    <s v="Clerical"/>
    <s v="Yes"/>
    <n v="0"/>
    <x v="0"/>
    <s v="Europe"/>
    <n v="65"/>
    <s v="Old 55+"/>
    <x v="1"/>
  </r>
  <r>
    <n v="27951"/>
    <x v="1"/>
    <s v="Male"/>
    <n v="80000"/>
    <n v="4"/>
    <s v="Partial College"/>
    <s v="Professional"/>
    <s v="No"/>
    <n v="2"/>
    <x v="1"/>
    <s v="Europe"/>
    <n v="54"/>
    <s v="Middle Age 31-54"/>
    <x v="1"/>
  </r>
  <r>
    <n v="25026"/>
    <x v="0"/>
    <s v="Male"/>
    <n v="20000"/>
    <n v="2"/>
    <s v="Partial High School"/>
    <s v="Clerical"/>
    <s v="Yes"/>
    <n v="3"/>
    <x v="2"/>
    <s v="Pacific"/>
    <n v="54"/>
    <s v="Middle Age 31-54"/>
    <x v="0"/>
  </r>
  <r>
    <n v="13673"/>
    <x v="1"/>
    <s v="Female"/>
    <n v="20000"/>
    <n v="0"/>
    <s v="Partial High School"/>
    <s v="Manual"/>
    <s v="No"/>
    <n v="2"/>
    <x v="0"/>
    <s v="Europe"/>
    <n v="25"/>
    <s v="Adolescent 0-30"/>
    <x v="0"/>
  </r>
  <r>
    <n v="16043"/>
    <x v="1"/>
    <s v="Male"/>
    <n v="10000"/>
    <n v="1"/>
    <s v="Bachelors"/>
    <s v="Manual"/>
    <s v="Yes"/>
    <n v="0"/>
    <x v="0"/>
    <s v="Europe"/>
    <n v="48"/>
    <s v="Middle Age 31-54"/>
    <x v="0"/>
  </r>
  <r>
    <n v="22399"/>
    <x v="1"/>
    <s v="Male"/>
    <n v="10000"/>
    <n v="0"/>
    <s v="Partial College"/>
    <s v="Manual"/>
    <s v="Yes"/>
    <n v="1"/>
    <x v="3"/>
    <s v="Pacific"/>
    <n v="26"/>
    <s v="Adolescent 0-30"/>
    <x v="1"/>
  </r>
  <r>
    <n v="27696"/>
    <x v="0"/>
    <s v="Male"/>
    <n v="60000"/>
    <n v="1"/>
    <s v="Bachelors"/>
    <s v="Professional"/>
    <s v="Yes"/>
    <n v="1"/>
    <x v="2"/>
    <s v="Pacific"/>
    <n v="43"/>
    <s v="Middle Age 31-54"/>
    <x v="1"/>
  </r>
  <r>
    <n v="25313"/>
    <x v="1"/>
    <s v="Male"/>
    <n v="10000"/>
    <n v="0"/>
    <s v="Partial High School"/>
    <s v="Manual"/>
    <s v="No"/>
    <n v="2"/>
    <x v="3"/>
    <s v="Europe"/>
    <n v="35"/>
    <s v="Middle Age 31-54"/>
    <x v="0"/>
  </r>
  <r>
    <n v="13813"/>
    <x v="0"/>
    <s v="Female"/>
    <n v="30000"/>
    <n v="3"/>
    <s v="Partial College"/>
    <s v="Clerical"/>
    <s v="No"/>
    <n v="0"/>
    <x v="0"/>
    <s v="Europe"/>
    <n v="42"/>
    <s v="Middle Age 31-54"/>
    <x v="0"/>
  </r>
  <r>
    <n v="18711"/>
    <x v="1"/>
    <s v="Female"/>
    <n v="70000"/>
    <n v="5"/>
    <s v="Bachelors"/>
    <s v="Professional"/>
    <s v="Yes"/>
    <n v="4"/>
    <x v="4"/>
    <s v="Pacific"/>
    <n v="39"/>
    <s v="Middle Age 31-54"/>
    <x v="0"/>
  </r>
  <r>
    <n v="19650"/>
    <x v="0"/>
    <s v="Female"/>
    <n v="30000"/>
    <n v="2"/>
    <s v="Partial College"/>
    <s v="Clerical"/>
    <s v="No"/>
    <n v="2"/>
    <x v="0"/>
    <s v="Pacific"/>
    <n v="67"/>
    <s v="Old 55+"/>
    <x v="0"/>
  </r>
  <r>
    <n v="14135"/>
    <x v="0"/>
    <s v="Male"/>
    <n v="20000"/>
    <n v="1"/>
    <s v="Partial College"/>
    <s v="Manual"/>
    <s v="Yes"/>
    <n v="0"/>
    <x v="3"/>
    <s v="Europe"/>
    <n v="35"/>
    <s v="Middle Age 31-54"/>
    <x v="0"/>
  </r>
  <r>
    <n v="12833"/>
    <x v="1"/>
    <s v="Female"/>
    <n v="20000"/>
    <n v="3"/>
    <s v="High School"/>
    <s v="Manual"/>
    <s v="Yes"/>
    <n v="1"/>
    <x v="0"/>
    <s v="Europe"/>
    <n v="42"/>
    <s v="Middle Age 31-54"/>
    <x v="1"/>
  </r>
  <r>
    <n v="26849"/>
    <x v="0"/>
    <s v="Male"/>
    <n v="10000"/>
    <n v="3"/>
    <s v="Partial High School"/>
    <s v="Manual"/>
    <s v="Yes"/>
    <n v="2"/>
    <x v="0"/>
    <s v="Europe"/>
    <n v="43"/>
    <s v="Middle Age 31-54"/>
    <x v="0"/>
  </r>
  <r>
    <n v="20962"/>
    <x v="0"/>
    <s v="Female"/>
    <n v="20000"/>
    <n v="1"/>
    <s v="Graduate Degree"/>
    <s v="Clerical"/>
    <s v="Yes"/>
    <n v="0"/>
    <x v="0"/>
    <s v="Europe"/>
    <n v="45"/>
    <s v="Middle Age 31-54"/>
    <x v="0"/>
  </r>
  <r>
    <n v="28915"/>
    <x v="1"/>
    <s v="Male"/>
    <n v="80000"/>
    <n v="5"/>
    <s v="High School"/>
    <s v="Management"/>
    <s v="Yes"/>
    <n v="3"/>
    <x v="4"/>
    <s v="Europe"/>
    <n v="57"/>
    <s v="Old 55+"/>
    <x v="0"/>
  </r>
  <r>
    <n v="22830"/>
    <x v="0"/>
    <s v="Male"/>
    <n v="120000"/>
    <n v="4"/>
    <s v="Partial College"/>
    <s v="Management"/>
    <s v="Yes"/>
    <n v="3"/>
    <x v="4"/>
    <s v="Europe"/>
    <n v="56"/>
    <s v="Old 55+"/>
    <x v="0"/>
  </r>
  <r>
    <n v="14777"/>
    <x v="0"/>
    <s v="Female"/>
    <n v="40000"/>
    <n v="0"/>
    <s v="Bachelors"/>
    <s v="Clerical"/>
    <s v="Yes"/>
    <n v="0"/>
    <x v="0"/>
    <s v="Europe"/>
    <n v="38"/>
    <s v="Middle Age 31-54"/>
    <x v="1"/>
  </r>
  <r>
    <n v="12591"/>
    <x v="0"/>
    <s v="Female"/>
    <n v="30000"/>
    <n v="4"/>
    <s v="Graduate Degree"/>
    <s v="Clerical"/>
    <s v="Yes"/>
    <n v="0"/>
    <x v="0"/>
    <s v="Europe"/>
    <n v="45"/>
    <s v="Middle Age 31-54"/>
    <x v="0"/>
  </r>
  <r>
    <n v="24174"/>
    <x v="0"/>
    <s v="Male"/>
    <n v="20000"/>
    <n v="0"/>
    <s v="Bachelors"/>
    <s v="Clerical"/>
    <s v="Yes"/>
    <n v="0"/>
    <x v="0"/>
    <s v="Pacific"/>
    <n v="27"/>
    <s v="Adolescent 0-30"/>
    <x v="1"/>
  </r>
  <r>
    <n v="24611"/>
    <x v="1"/>
    <s v="Male"/>
    <n v="90000"/>
    <n v="0"/>
    <s v="Bachelors"/>
    <s v="Professional"/>
    <s v="No"/>
    <n v="4"/>
    <x v="4"/>
    <s v="Pacific"/>
    <n v="35"/>
    <s v="Middle Age 31-54"/>
    <x v="1"/>
  </r>
  <r>
    <n v="11340"/>
    <x v="0"/>
    <s v="Female"/>
    <n v="10000"/>
    <n v="1"/>
    <s v="Graduate Degree"/>
    <s v="Clerical"/>
    <s v="Yes"/>
    <n v="0"/>
    <x v="0"/>
    <s v="Europe"/>
    <n v="70"/>
    <s v="Old 55+"/>
    <x v="1"/>
  </r>
  <r>
    <n v="25693"/>
    <x v="1"/>
    <s v="Female"/>
    <n v="30000"/>
    <n v="5"/>
    <s v="Graduate Degree"/>
    <s v="Clerical"/>
    <s v="Yes"/>
    <n v="0"/>
    <x v="0"/>
    <s v="Europe"/>
    <n v="44"/>
    <s v="Middle Age 31-54"/>
    <x v="1"/>
  </r>
  <r>
    <n v="25555"/>
    <x v="0"/>
    <s v="Female"/>
    <n v="10000"/>
    <n v="0"/>
    <s v="Partial College"/>
    <s v="Manual"/>
    <s v="No"/>
    <n v="1"/>
    <x v="0"/>
    <s v="Pacific"/>
    <n v="26"/>
    <s v="Adolescent 0-30"/>
    <x v="1"/>
  </r>
  <r>
    <n v="22006"/>
    <x v="0"/>
    <s v="Male"/>
    <n v="70000"/>
    <n v="5"/>
    <s v="Partial College"/>
    <s v="Skilled Manual"/>
    <s v="Yes"/>
    <n v="3"/>
    <x v="2"/>
    <s v="Pacific"/>
    <n v="46"/>
    <s v="Middle Age 31-54"/>
    <x v="0"/>
  </r>
  <r>
    <n v="20060"/>
    <x v="1"/>
    <s v="Female"/>
    <n v="30000"/>
    <n v="0"/>
    <s v="High School"/>
    <s v="Manual"/>
    <s v="No"/>
    <n v="1"/>
    <x v="1"/>
    <s v="Europe"/>
    <n v="34"/>
    <s v="Middle Age 31-54"/>
    <x v="1"/>
  </r>
  <r>
    <n v="17702"/>
    <x v="0"/>
    <s v="Male"/>
    <n v="10000"/>
    <n v="1"/>
    <s v="Graduate Degree"/>
    <s v="Manual"/>
    <s v="Yes"/>
    <n v="0"/>
    <x v="0"/>
    <s v="Europe"/>
    <n v="37"/>
    <s v="Middle Age 31-54"/>
    <x v="0"/>
  </r>
  <r>
    <n v="12503"/>
    <x v="1"/>
    <s v="Female"/>
    <n v="30000"/>
    <n v="3"/>
    <s v="Partial College"/>
    <s v="Clerical"/>
    <s v="Yes"/>
    <n v="2"/>
    <x v="0"/>
    <s v="Europe"/>
    <n v="27"/>
    <s v="Adolescent 0-30"/>
    <x v="0"/>
  </r>
  <r>
    <n v="23908"/>
    <x v="1"/>
    <s v="Male"/>
    <n v="30000"/>
    <n v="1"/>
    <s v="Bachelors"/>
    <s v="Clerical"/>
    <s v="No"/>
    <n v="1"/>
    <x v="0"/>
    <s v="Europe"/>
    <n v="39"/>
    <s v="Middle Age 31-54"/>
    <x v="1"/>
  </r>
  <r>
    <n v="22527"/>
    <x v="1"/>
    <s v="Female"/>
    <n v="20000"/>
    <n v="0"/>
    <s v="High School"/>
    <s v="Manual"/>
    <s v="No"/>
    <n v="1"/>
    <x v="1"/>
    <s v="Europe"/>
    <n v="29"/>
    <s v="Adolescent 0-30"/>
    <x v="0"/>
  </r>
  <r>
    <n v="19057"/>
    <x v="0"/>
    <s v="Female"/>
    <n v="120000"/>
    <n v="3"/>
    <s v="Bachelors"/>
    <s v="Management"/>
    <s v="No"/>
    <n v="2"/>
    <x v="4"/>
    <s v="Europe"/>
    <n v="52"/>
    <s v="Middle Age 31-54"/>
    <x v="1"/>
  </r>
  <r>
    <n v="18494"/>
    <x v="0"/>
    <s v="Male"/>
    <n v="110000"/>
    <n v="5"/>
    <s v="Bachelors"/>
    <s v="Management"/>
    <s v="Yes"/>
    <n v="4"/>
    <x v="1"/>
    <s v="Pacific"/>
    <n v="48"/>
    <s v="Middle Age 31-54"/>
    <x v="1"/>
  </r>
  <r>
    <n v="11249"/>
    <x v="0"/>
    <s v="Female"/>
    <n v="130000"/>
    <n v="3"/>
    <s v="Partial College"/>
    <s v="Professional"/>
    <s v="Yes"/>
    <n v="3"/>
    <x v="0"/>
    <s v="Europe"/>
    <n v="51"/>
    <s v="Middle Age 31-54"/>
    <x v="1"/>
  </r>
  <r>
    <n v="21568"/>
    <x v="0"/>
    <s v="Female"/>
    <n v="100000"/>
    <n v="0"/>
    <s v="High School"/>
    <s v="Management"/>
    <s v="Yes"/>
    <n v="4"/>
    <x v="4"/>
    <s v="Pacific"/>
    <n v="34"/>
    <s v="Middle Age 31-54"/>
    <x v="1"/>
  </r>
  <r>
    <n v="13981"/>
    <x v="0"/>
    <s v="Female"/>
    <n v="10000"/>
    <n v="5"/>
    <s v="High School"/>
    <s v="Skilled Manual"/>
    <s v="No"/>
    <n v="3"/>
    <x v="3"/>
    <s v="Pacific"/>
    <n v="62"/>
    <s v="Old 55+"/>
    <x v="0"/>
  </r>
  <r>
    <n v="23432"/>
    <x v="1"/>
    <s v="Male"/>
    <n v="70000"/>
    <n v="0"/>
    <s v="Bachelors"/>
    <s v="Professional"/>
    <s v="Yes"/>
    <n v="1"/>
    <x v="2"/>
    <s v="Pacific"/>
    <n v="37"/>
    <s v="Middle Age 31-54"/>
    <x v="1"/>
  </r>
  <r>
    <n v="22931"/>
    <x v="0"/>
    <s v="Male"/>
    <n v="100000"/>
    <n v="5"/>
    <s v="Graduate Degree"/>
    <s v="Management"/>
    <s v="No"/>
    <n v="1"/>
    <x v="3"/>
    <s v="Pacific"/>
    <n v="78"/>
    <s v="Old 55+"/>
    <x v="1"/>
  </r>
  <r>
    <n v="18172"/>
    <x v="0"/>
    <s v="Male"/>
    <n v="130000"/>
    <n v="4"/>
    <s v="High School"/>
    <s v="Professional"/>
    <s v="Yes"/>
    <n v="3"/>
    <x v="0"/>
    <s v="Europe"/>
    <n v="55"/>
    <s v="Old 55+"/>
    <x v="0"/>
  </r>
  <r>
    <n v="12666"/>
    <x v="1"/>
    <s v="Male"/>
    <n v="60000"/>
    <n v="0"/>
    <s v="Bachelors"/>
    <s v="Professional"/>
    <s v="No"/>
    <n v="4"/>
    <x v="1"/>
    <s v="Pacific"/>
    <n v="31"/>
    <s v="Middle Age 31-54"/>
    <x v="0"/>
  </r>
  <r>
    <n v="20598"/>
    <x v="0"/>
    <s v="Male"/>
    <n v="100000"/>
    <n v="3"/>
    <s v="Partial High School"/>
    <s v="Professional"/>
    <s v="Yes"/>
    <n v="0"/>
    <x v="4"/>
    <s v="Europe"/>
    <n v="59"/>
    <s v="Old 55+"/>
    <x v="1"/>
  </r>
  <r>
    <n v="21375"/>
    <x v="1"/>
    <s v="Male"/>
    <n v="20000"/>
    <n v="2"/>
    <s v="Partial High School"/>
    <s v="Clerical"/>
    <s v="Yes"/>
    <n v="2"/>
    <x v="2"/>
    <s v="Pacific"/>
    <n v="57"/>
    <s v="Old 55+"/>
    <x v="0"/>
  </r>
  <r>
    <n v="20839"/>
    <x v="1"/>
    <s v="Female"/>
    <n v="30000"/>
    <n v="3"/>
    <s v="Graduate Degree"/>
    <s v="Clerical"/>
    <s v="Yes"/>
    <n v="0"/>
    <x v="0"/>
    <s v="Europe"/>
    <n v="47"/>
    <s v="Middle Age 31-54"/>
    <x v="1"/>
  </r>
  <r>
    <n v="21738"/>
    <x v="0"/>
    <s v="Male"/>
    <n v="20000"/>
    <n v="1"/>
    <s v="Graduate Degree"/>
    <s v="Clerical"/>
    <s v="Yes"/>
    <n v="0"/>
    <x v="0"/>
    <s v="Europe"/>
    <n v="43"/>
    <s v="Middle Age 31-54"/>
    <x v="0"/>
  </r>
  <r>
    <n v="14164"/>
    <x v="1"/>
    <s v="Female"/>
    <n v="50000"/>
    <n v="0"/>
    <s v="Graduate Degree"/>
    <s v="Skilled Manual"/>
    <s v="Yes"/>
    <n v="0"/>
    <x v="0"/>
    <s v="Europe"/>
    <n v="36"/>
    <s v="Middle Age 31-54"/>
    <x v="1"/>
  </r>
  <r>
    <n v="14193"/>
    <x v="1"/>
    <s v="Female"/>
    <n v="100000"/>
    <n v="3"/>
    <s v="Partial College"/>
    <s v="Management"/>
    <s v="Yes"/>
    <n v="4"/>
    <x v="4"/>
    <s v="Europe"/>
    <n v="56"/>
    <s v="Old 55+"/>
    <x v="0"/>
  </r>
  <r>
    <n v="12705"/>
    <x v="0"/>
    <s v="Male"/>
    <n v="150000"/>
    <n v="0"/>
    <s v="Bachelors"/>
    <s v="Management"/>
    <s v="Yes"/>
    <n v="4"/>
    <x v="0"/>
    <s v="Pacific"/>
    <n v="37"/>
    <s v="Middle Age 31-54"/>
    <x v="1"/>
  </r>
  <r>
    <n v="22672"/>
    <x v="1"/>
    <s v="Female"/>
    <n v="30000"/>
    <n v="2"/>
    <s v="Partial College"/>
    <s v="Clerical"/>
    <s v="Yes"/>
    <n v="0"/>
    <x v="0"/>
    <s v="Europe"/>
    <n v="43"/>
    <s v="Middle Age 31-54"/>
    <x v="0"/>
  </r>
  <r>
    <n v="26219"/>
    <x v="0"/>
    <s v="Female"/>
    <n v="40000"/>
    <n v="1"/>
    <s v="Bachelors"/>
    <s v="Skilled Manual"/>
    <s v="Yes"/>
    <n v="1"/>
    <x v="3"/>
    <s v="Europe"/>
    <n v="33"/>
    <s v="Middle Age 31-54"/>
    <x v="1"/>
  </r>
  <r>
    <n v="28468"/>
    <x v="0"/>
    <s v="Female"/>
    <n v="10000"/>
    <n v="2"/>
    <s v="Partial College"/>
    <s v="Manual"/>
    <s v="Yes"/>
    <n v="0"/>
    <x v="3"/>
    <s v="Europe"/>
    <n v="51"/>
    <s v="Middle Age 31-54"/>
    <x v="0"/>
  </r>
  <r>
    <n v="23419"/>
    <x v="1"/>
    <s v="Female"/>
    <n v="70000"/>
    <n v="5"/>
    <s v="Bachelors"/>
    <s v="Professional"/>
    <s v="Yes"/>
    <n v="3"/>
    <x v="4"/>
    <s v="Pacific"/>
    <n v="39"/>
    <s v="Middle Age 31-54"/>
    <x v="0"/>
  </r>
  <r>
    <n v="17964"/>
    <x v="0"/>
    <s v="Male"/>
    <n v="40000"/>
    <n v="0"/>
    <s v="Graduate Degree"/>
    <s v="Clerical"/>
    <s v="Yes"/>
    <n v="0"/>
    <x v="0"/>
    <s v="Europe"/>
    <n v="37"/>
    <s v="Middle Age 31-54"/>
    <x v="1"/>
  </r>
  <r>
    <n v="20919"/>
    <x v="1"/>
    <s v="Female"/>
    <n v="30000"/>
    <n v="2"/>
    <s v="Partial College"/>
    <s v="Clerical"/>
    <s v="Yes"/>
    <n v="2"/>
    <x v="0"/>
    <s v="Europe"/>
    <n v="42"/>
    <s v="Middle Age 31-54"/>
    <x v="0"/>
  </r>
  <r>
    <n v="20927"/>
    <x v="1"/>
    <s v="Female"/>
    <n v="20000"/>
    <n v="5"/>
    <s v="High School"/>
    <s v="Manual"/>
    <s v="Yes"/>
    <n v="2"/>
    <x v="0"/>
    <s v="Europe"/>
    <n v="27"/>
    <s v="Adolescent 0-30"/>
    <x v="0"/>
  </r>
  <r>
    <n v="13133"/>
    <x v="1"/>
    <s v="Male"/>
    <n v="100000"/>
    <n v="5"/>
    <s v="Bachelors"/>
    <s v="Professional"/>
    <s v="Yes"/>
    <n v="1"/>
    <x v="2"/>
    <s v="Pacific"/>
    <n v="47"/>
    <s v="Middle Age 31-54"/>
    <x v="1"/>
  </r>
  <r>
    <n v="19626"/>
    <x v="0"/>
    <s v="Male"/>
    <n v="70000"/>
    <n v="5"/>
    <s v="Partial College"/>
    <s v="Skilled Manual"/>
    <s v="Yes"/>
    <n v="3"/>
    <x v="2"/>
    <s v="Pacific"/>
    <n v="45"/>
    <s v="Middle Age 31-54"/>
    <x v="0"/>
  </r>
  <r>
    <n v="21039"/>
    <x v="1"/>
    <s v="Female"/>
    <n v="50000"/>
    <n v="0"/>
    <s v="Graduate Degree"/>
    <s v="Skilled Manual"/>
    <s v="No"/>
    <n v="0"/>
    <x v="0"/>
    <s v="Europe"/>
    <n v="37"/>
    <s v="Middle Age 31-54"/>
    <x v="1"/>
  </r>
  <r>
    <n v="12231"/>
    <x v="1"/>
    <s v="Female"/>
    <n v="10000"/>
    <n v="2"/>
    <s v="Partial College"/>
    <s v="Manual"/>
    <s v="Yes"/>
    <n v="0"/>
    <x v="0"/>
    <s v="Europe"/>
    <n v="51"/>
    <s v="Middle Age 31-54"/>
    <x v="1"/>
  </r>
  <r>
    <n v="25665"/>
    <x v="1"/>
    <s v="Female"/>
    <n v="20000"/>
    <n v="0"/>
    <s v="High School"/>
    <s v="Manual"/>
    <s v="No"/>
    <n v="1"/>
    <x v="3"/>
    <s v="Europe"/>
    <n v="28"/>
    <s v="Adolescent 0-30"/>
    <x v="0"/>
  </r>
  <r>
    <n v="24061"/>
    <x v="0"/>
    <s v="Male"/>
    <n v="10000"/>
    <n v="4"/>
    <s v="Partial High School"/>
    <s v="Manual"/>
    <s v="Yes"/>
    <n v="1"/>
    <x v="0"/>
    <s v="Europe"/>
    <n v="40"/>
    <s v="Middle Age 31-54"/>
    <x v="1"/>
  </r>
  <r>
    <n v="26879"/>
    <x v="1"/>
    <s v="Female"/>
    <n v="20000"/>
    <n v="0"/>
    <s v="High School"/>
    <s v="Manual"/>
    <s v="No"/>
    <n v="1"/>
    <x v="1"/>
    <s v="Europe"/>
    <n v="30"/>
    <s v="Adolescent 0-30"/>
    <x v="0"/>
  </r>
  <r>
    <n v="12284"/>
    <x v="0"/>
    <s v="Female"/>
    <n v="30000"/>
    <n v="0"/>
    <s v="Bachelors"/>
    <s v="Clerical"/>
    <s v="No"/>
    <n v="0"/>
    <x v="0"/>
    <s v="Europe"/>
    <n v="36"/>
    <s v="Middle Age 31-54"/>
    <x v="1"/>
  </r>
  <r>
    <n v="26654"/>
    <x v="0"/>
    <s v="Female"/>
    <n v="90000"/>
    <n v="1"/>
    <s v="Graduate Degree"/>
    <s v="Management"/>
    <s v="Yes"/>
    <n v="0"/>
    <x v="0"/>
    <s v="Pacific"/>
    <n v="37"/>
    <s v="Middle Age 31-54"/>
    <x v="1"/>
  </r>
  <r>
    <n v="14545"/>
    <x v="0"/>
    <s v="Female"/>
    <n v="10000"/>
    <n v="2"/>
    <s v="Partial College"/>
    <s v="Manual"/>
    <s v="Yes"/>
    <n v="0"/>
    <x v="3"/>
    <s v="Europe"/>
    <n v="49"/>
    <s v="Middle Age 31-54"/>
    <x v="0"/>
  </r>
  <r>
    <n v="24201"/>
    <x v="0"/>
    <s v="Female"/>
    <n v="10000"/>
    <n v="2"/>
    <s v="High School"/>
    <s v="Manual"/>
    <s v="Yes"/>
    <n v="0"/>
    <x v="0"/>
    <s v="Europe"/>
    <n v="37"/>
    <s v="Middle Age 31-54"/>
    <x v="1"/>
  </r>
  <r>
    <n v="20625"/>
    <x v="0"/>
    <s v="Male"/>
    <n v="100000"/>
    <n v="0"/>
    <s v="High School"/>
    <s v="Management"/>
    <s v="Yes"/>
    <n v="3"/>
    <x v="4"/>
    <s v="Pacific"/>
    <n v="35"/>
    <s v="Middle Age 31-54"/>
    <x v="1"/>
  </r>
  <r>
    <n v="16390"/>
    <x v="1"/>
    <s v="Male"/>
    <n v="30000"/>
    <n v="1"/>
    <s v="Bachelors"/>
    <s v="Clerical"/>
    <s v="No"/>
    <n v="0"/>
    <x v="0"/>
    <s v="Europe"/>
    <n v="38"/>
    <s v="Middle Age 31-54"/>
    <x v="1"/>
  </r>
  <r>
    <n v="14804"/>
    <x v="1"/>
    <s v="Female"/>
    <n v="10000"/>
    <n v="3"/>
    <s v="Partial High School"/>
    <s v="Manual"/>
    <s v="Yes"/>
    <n v="2"/>
    <x v="0"/>
    <s v="Europe"/>
    <n v="43"/>
    <s v="Middle Age 31-54"/>
    <x v="0"/>
  </r>
  <r>
    <n v="12629"/>
    <x v="1"/>
    <s v="Male"/>
    <n v="20000"/>
    <n v="1"/>
    <s v="Partial College"/>
    <s v="Manual"/>
    <s v="No"/>
    <n v="0"/>
    <x v="0"/>
    <s v="Europe"/>
    <n v="37"/>
    <s v="Middle Age 31-54"/>
    <x v="0"/>
  </r>
  <r>
    <n v="14696"/>
    <x v="1"/>
    <s v="Male"/>
    <n v="10000"/>
    <n v="0"/>
    <s v="Partial High School"/>
    <s v="Manual"/>
    <s v="No"/>
    <n v="2"/>
    <x v="0"/>
    <s v="Europe"/>
    <n v="34"/>
    <s v="Middle Age 31-54"/>
    <x v="0"/>
  </r>
  <r>
    <n v="22005"/>
    <x v="0"/>
    <s v="Female"/>
    <n v="70000"/>
    <n v="5"/>
    <s v="Partial College"/>
    <s v="Skilled Manual"/>
    <s v="No"/>
    <n v="3"/>
    <x v="2"/>
    <s v="Pacific"/>
    <n v="46"/>
    <s v="Middle Age 31-54"/>
    <x v="0"/>
  </r>
  <r>
    <n v="14544"/>
    <x v="1"/>
    <s v="Male"/>
    <n v="10000"/>
    <n v="1"/>
    <s v="Partial College"/>
    <s v="Manual"/>
    <s v="Yes"/>
    <n v="0"/>
    <x v="0"/>
    <s v="Europe"/>
    <n v="49"/>
    <s v="Middle Age 31-54"/>
    <x v="0"/>
  </r>
  <r>
    <n v="14312"/>
    <x v="0"/>
    <s v="Female"/>
    <n v="60000"/>
    <n v="1"/>
    <s v="Partial College"/>
    <s v="Skilled Manual"/>
    <s v="Yes"/>
    <n v="1"/>
    <x v="2"/>
    <s v="Pacific"/>
    <n v="45"/>
    <s v="Middle Age 31-54"/>
    <x v="0"/>
  </r>
  <r>
    <n v="29120"/>
    <x v="1"/>
    <s v="Female"/>
    <n v="100000"/>
    <n v="1"/>
    <s v="Bachelors"/>
    <s v="Management"/>
    <s v="Yes"/>
    <n v="4"/>
    <x v="1"/>
    <s v="Pacific"/>
    <n v="48"/>
    <s v="Middle Age 31-54"/>
    <x v="0"/>
  </r>
  <r>
    <n v="24187"/>
    <x v="1"/>
    <s v="Female"/>
    <n v="30000"/>
    <n v="3"/>
    <s v="Graduate Degree"/>
    <s v="Clerical"/>
    <s v="No"/>
    <n v="0"/>
    <x v="0"/>
    <s v="Europe"/>
    <n v="46"/>
    <s v="Middle Age 31-54"/>
    <x v="1"/>
  </r>
  <r>
    <n v="15758"/>
    <x v="0"/>
    <s v="Male"/>
    <n v="130000"/>
    <n v="0"/>
    <s v="Graduate Degree"/>
    <s v="Management"/>
    <s v="Yes"/>
    <n v="0"/>
    <x v="2"/>
    <s v="Pacific"/>
    <n v="48"/>
    <s v="Middle Age 31-54"/>
    <x v="0"/>
  </r>
  <r>
    <n v="29094"/>
    <x v="0"/>
    <s v="Male"/>
    <n v="30000"/>
    <n v="3"/>
    <s v="High School"/>
    <s v="Skilled Manual"/>
    <s v="Yes"/>
    <n v="2"/>
    <x v="2"/>
    <s v="Pacific"/>
    <n v="54"/>
    <s v="Middle Age 31-54"/>
    <x v="1"/>
  </r>
  <r>
    <n v="28319"/>
    <x v="1"/>
    <s v="Female"/>
    <n v="60000"/>
    <n v="1"/>
    <s v="Partial College"/>
    <s v="Skilled Manual"/>
    <s v="No"/>
    <n v="1"/>
    <x v="0"/>
    <s v="Pacific"/>
    <n v="46"/>
    <s v="Middle Age 31-54"/>
    <x v="1"/>
  </r>
  <r>
    <n v="16406"/>
    <x v="0"/>
    <s v="Male"/>
    <n v="40000"/>
    <n v="0"/>
    <s v="Bachelors"/>
    <s v="Clerical"/>
    <s v="No"/>
    <n v="0"/>
    <x v="0"/>
    <s v="Europe"/>
    <n v="38"/>
    <s v="Middle Age 31-54"/>
    <x v="1"/>
  </r>
  <r>
    <n v="20923"/>
    <x v="0"/>
    <s v="Female"/>
    <n v="40000"/>
    <n v="1"/>
    <s v="Bachelors"/>
    <s v="Skilled Manual"/>
    <s v="Yes"/>
    <n v="0"/>
    <x v="0"/>
    <s v="Europe"/>
    <n v="42"/>
    <s v="Middle Age 31-54"/>
    <x v="1"/>
  </r>
  <r>
    <n v="11378"/>
    <x v="1"/>
    <s v="Female"/>
    <n v="10000"/>
    <n v="1"/>
    <s v="High School"/>
    <s v="Manual"/>
    <s v="No"/>
    <n v="1"/>
    <x v="1"/>
    <s v="Europe"/>
    <n v="46"/>
    <s v="Middle Age 31-54"/>
    <x v="1"/>
  </r>
  <r>
    <n v="20851"/>
    <x v="1"/>
    <s v="Male"/>
    <n v="20000"/>
    <n v="0"/>
    <s v="Partial College"/>
    <s v="Manual"/>
    <s v="No"/>
    <n v="1"/>
    <x v="1"/>
    <s v="Europe"/>
    <n v="36"/>
    <s v="Middle Age 31-54"/>
    <x v="1"/>
  </r>
  <r>
    <n v="21557"/>
    <x v="1"/>
    <s v="Female"/>
    <n v="110000"/>
    <n v="0"/>
    <s v="Partial College"/>
    <s v="Management"/>
    <s v="Yes"/>
    <n v="3"/>
    <x v="4"/>
    <s v="Pacific"/>
    <n v="32"/>
    <s v="Middle Age 31-54"/>
    <x v="1"/>
  </r>
  <r>
    <n v="26663"/>
    <x v="1"/>
    <s v="Female"/>
    <n v="60000"/>
    <n v="2"/>
    <s v="Bachelors"/>
    <s v="Professional"/>
    <s v="No"/>
    <n v="1"/>
    <x v="0"/>
    <s v="Pacific"/>
    <n v="39"/>
    <s v="Middle Age 31-54"/>
    <x v="1"/>
  </r>
  <r>
    <n v="11896"/>
    <x v="0"/>
    <s v="Male"/>
    <n v="100000"/>
    <n v="1"/>
    <s v="Graduate Degree"/>
    <s v="Management"/>
    <s v="Yes"/>
    <n v="0"/>
    <x v="1"/>
    <s v="Pacific"/>
    <n v="36"/>
    <s v="Middle Age 31-54"/>
    <x v="1"/>
  </r>
  <r>
    <n v="14189"/>
    <x v="0"/>
    <s v="Female"/>
    <n v="90000"/>
    <n v="4"/>
    <s v="High School"/>
    <s v="Professional"/>
    <s v="No"/>
    <n v="2"/>
    <x v="1"/>
    <s v="Europe"/>
    <n v="54"/>
    <s v="Middle Age 31-54"/>
    <x v="1"/>
  </r>
  <r>
    <n v="13136"/>
    <x v="0"/>
    <s v="Female"/>
    <n v="30000"/>
    <n v="2"/>
    <s v="Partial College"/>
    <s v="Clerical"/>
    <s v="No"/>
    <n v="2"/>
    <x v="2"/>
    <s v="Pacific"/>
    <n v="69"/>
    <s v="Old 55+"/>
    <x v="0"/>
  </r>
  <r>
    <n v="25906"/>
    <x v="1"/>
    <s v="Female"/>
    <n v="10000"/>
    <n v="5"/>
    <s v="High School"/>
    <s v="Skilled Manual"/>
    <s v="No"/>
    <n v="2"/>
    <x v="3"/>
    <s v="Pacific"/>
    <n v="62"/>
    <s v="Old 55+"/>
    <x v="0"/>
  </r>
  <r>
    <n v="17926"/>
    <x v="1"/>
    <s v="Female"/>
    <n v="40000"/>
    <n v="0"/>
    <s v="Bachelors"/>
    <s v="Clerical"/>
    <s v="No"/>
    <n v="0"/>
    <x v="0"/>
    <s v="Pacific"/>
    <n v="28"/>
    <s v="Adolescent 0-30"/>
    <x v="1"/>
  </r>
  <r>
    <n v="26928"/>
    <x v="1"/>
    <s v="Male"/>
    <n v="30000"/>
    <n v="1"/>
    <s v="Bachelors"/>
    <s v="Clerical"/>
    <s v="Yes"/>
    <n v="0"/>
    <x v="0"/>
    <s v="Europe"/>
    <n v="62"/>
    <s v="Old 55+"/>
    <x v="1"/>
  </r>
  <r>
    <n v="20897"/>
    <x v="0"/>
    <s v="Female"/>
    <n v="30000"/>
    <n v="1"/>
    <s v="Bachelors"/>
    <s v="Skilled Manual"/>
    <s v="Yes"/>
    <n v="2"/>
    <x v="0"/>
    <s v="Europe"/>
    <n v="40"/>
    <s v="Middle Age 31-54"/>
    <x v="0"/>
  </r>
  <r>
    <n v="28207"/>
    <x v="0"/>
    <s v="Male"/>
    <n v="80000"/>
    <n v="4"/>
    <s v="Graduate Degree"/>
    <s v="Management"/>
    <s v="Yes"/>
    <n v="1"/>
    <x v="0"/>
    <s v="Pacific"/>
    <n v="36"/>
    <s v="Middle Age 31-54"/>
    <x v="1"/>
  </r>
  <r>
    <n v="25923"/>
    <x v="1"/>
    <s v="Male"/>
    <n v="10000"/>
    <n v="2"/>
    <s v="Partial High School"/>
    <s v="Clerical"/>
    <s v="Yes"/>
    <n v="2"/>
    <x v="2"/>
    <s v="Pacific"/>
    <n v="58"/>
    <s v="Old 55+"/>
    <x v="0"/>
  </r>
  <r>
    <n v="11000"/>
    <x v="0"/>
    <s v="Male"/>
    <n v="90000"/>
    <n v="2"/>
    <s v="Bachelors"/>
    <s v="Professional"/>
    <s v="Yes"/>
    <n v="0"/>
    <x v="3"/>
    <s v="Pacific"/>
    <n v="40"/>
    <s v="Middle Age 31-54"/>
    <x v="1"/>
  </r>
  <r>
    <n v="20974"/>
    <x v="0"/>
    <s v="Male"/>
    <n v="10000"/>
    <n v="2"/>
    <s v="Bachelors"/>
    <s v="Clerical"/>
    <s v="Yes"/>
    <n v="1"/>
    <x v="0"/>
    <s v="Europe"/>
    <n v="66"/>
    <s v="Old 55+"/>
    <x v="0"/>
  </r>
  <r>
    <n v="28758"/>
    <x v="0"/>
    <s v="Male"/>
    <n v="40000"/>
    <n v="2"/>
    <s v="Partial College"/>
    <s v="Clerical"/>
    <s v="Yes"/>
    <n v="1"/>
    <x v="3"/>
    <s v="Europe"/>
    <n v="35"/>
    <s v="Middle Age 31-54"/>
    <x v="1"/>
  </r>
  <r>
    <n v="11381"/>
    <x v="0"/>
    <s v="Female"/>
    <n v="20000"/>
    <n v="2"/>
    <s v="Partial College"/>
    <s v="Manual"/>
    <s v="Yes"/>
    <n v="1"/>
    <x v="1"/>
    <s v="Europe"/>
    <n v="47"/>
    <s v="Middle Age 31-54"/>
    <x v="1"/>
  </r>
  <r>
    <n v="17522"/>
    <x v="0"/>
    <s v="Male"/>
    <n v="120000"/>
    <n v="4"/>
    <s v="Bachelors"/>
    <s v="Management"/>
    <s v="Yes"/>
    <n v="1"/>
    <x v="1"/>
    <s v="Pacific"/>
    <n v="47"/>
    <s v="Middle Age 31-54"/>
    <x v="0"/>
  </r>
  <r>
    <n v="21207"/>
    <x v="0"/>
    <s v="Male"/>
    <n v="60000"/>
    <n v="1"/>
    <s v="Partial College"/>
    <s v="Skilled Manual"/>
    <s v="Yes"/>
    <n v="1"/>
    <x v="2"/>
    <s v="Pacific"/>
    <n v="46"/>
    <s v="Middle Age 31-54"/>
    <x v="0"/>
  </r>
  <r>
    <n v="28102"/>
    <x v="0"/>
    <s v="Male"/>
    <n v="20000"/>
    <n v="4"/>
    <s v="High School"/>
    <s v="Skilled Manual"/>
    <s v="Yes"/>
    <n v="2"/>
    <x v="2"/>
    <s v="Pacific"/>
    <n v="58"/>
    <s v="Old 55+"/>
    <x v="1"/>
  </r>
  <r>
    <n v="23105"/>
    <x v="1"/>
    <s v="Male"/>
    <n v="40000"/>
    <n v="3"/>
    <s v="Partial High School"/>
    <s v="Clerical"/>
    <s v="No"/>
    <n v="2"/>
    <x v="2"/>
    <s v="Pacific"/>
    <n v="52"/>
    <s v="Middle Age 31-54"/>
    <x v="1"/>
  </r>
  <r>
    <n v="18740"/>
    <x v="0"/>
    <s v="Male"/>
    <n v="80000"/>
    <n v="5"/>
    <s v="Bachelors"/>
    <s v="Professional"/>
    <s v="No"/>
    <n v="1"/>
    <x v="0"/>
    <s v="Pacific"/>
    <n v="47"/>
    <s v="Middle Age 31-54"/>
    <x v="1"/>
  </r>
  <r>
    <n v="21213"/>
    <x v="1"/>
    <s v="Male"/>
    <n v="70000"/>
    <n v="0"/>
    <s v="Bachelors"/>
    <s v="Professional"/>
    <s v="No"/>
    <n v="1"/>
    <x v="2"/>
    <s v="Pacific"/>
    <n v="41"/>
    <s v="Middle Age 31-54"/>
    <x v="0"/>
  </r>
  <r>
    <n v="17352"/>
    <x v="0"/>
    <s v="Male"/>
    <n v="50000"/>
    <n v="2"/>
    <s v="Graduate Degree"/>
    <s v="Management"/>
    <s v="Yes"/>
    <n v="1"/>
    <x v="2"/>
    <s v="Pacific"/>
    <n v="64"/>
    <s v="Old 55+"/>
    <x v="1"/>
  </r>
  <r>
    <n v="14154"/>
    <x v="0"/>
    <s v="Male"/>
    <n v="30000"/>
    <n v="0"/>
    <s v="Bachelors"/>
    <s v="Clerical"/>
    <s v="Yes"/>
    <n v="0"/>
    <x v="0"/>
    <s v="Europe"/>
    <n v="35"/>
    <s v="Middle Age 31-54"/>
    <x v="1"/>
  </r>
  <r>
    <n v="19066"/>
    <x v="0"/>
    <s v="Male"/>
    <n v="130000"/>
    <n v="4"/>
    <s v="Partial College"/>
    <s v="Professional"/>
    <s v="No"/>
    <n v="3"/>
    <x v="4"/>
    <s v="Europe"/>
    <n v="54"/>
    <s v="Middle Age 31-54"/>
    <x v="0"/>
  </r>
  <r>
    <n v="11386"/>
    <x v="0"/>
    <s v="Female"/>
    <n v="30000"/>
    <n v="3"/>
    <s v="Bachelors"/>
    <s v="Clerical"/>
    <s v="Yes"/>
    <n v="0"/>
    <x v="0"/>
    <s v="Europe"/>
    <n v="45"/>
    <s v="Middle Age 31-54"/>
    <x v="0"/>
  </r>
  <r>
    <n v="20228"/>
    <x v="0"/>
    <s v="Male"/>
    <n v="100000"/>
    <n v="0"/>
    <s v="Graduate Degree"/>
    <s v="Management"/>
    <s v="Yes"/>
    <n v="0"/>
    <x v="1"/>
    <s v="Pacific"/>
    <n v="40"/>
    <s v="Middle Age 31-54"/>
    <x v="1"/>
  </r>
  <r>
    <n v="16675"/>
    <x v="1"/>
    <s v="Female"/>
    <n v="160000"/>
    <n v="0"/>
    <s v="Graduate Degree"/>
    <s v="Management"/>
    <s v="No"/>
    <n v="3"/>
    <x v="0"/>
    <s v="Pacific"/>
    <n v="47"/>
    <s v="Middle Age 31-54"/>
    <x v="1"/>
  </r>
  <r>
    <n v="16410"/>
    <x v="1"/>
    <s v="Female"/>
    <n v="10000"/>
    <n v="4"/>
    <s v="Partial High School"/>
    <s v="Manual"/>
    <s v="Yes"/>
    <n v="2"/>
    <x v="0"/>
    <s v="Europe"/>
    <n v="41"/>
    <s v="Middle Age 31-54"/>
    <x v="1"/>
  </r>
  <r>
    <n v="27760"/>
    <x v="1"/>
    <s v="Female"/>
    <n v="40000"/>
    <n v="0"/>
    <s v="Graduate Degree"/>
    <s v="Clerical"/>
    <s v="No"/>
    <n v="0"/>
    <x v="0"/>
    <s v="Europe"/>
    <n v="37"/>
    <s v="Middle Age 31-54"/>
    <x v="1"/>
  </r>
  <r>
    <n v="22930"/>
    <x v="0"/>
    <s v="Male"/>
    <n v="90000"/>
    <n v="4"/>
    <s v="Bachelors"/>
    <s v="Professional"/>
    <s v="Yes"/>
    <n v="0"/>
    <x v="3"/>
    <s v="Pacific"/>
    <n v="38"/>
    <s v="Middle Age 31-54"/>
    <x v="1"/>
  </r>
  <r>
    <n v="23780"/>
    <x v="1"/>
    <s v="Male"/>
    <n v="40000"/>
    <n v="2"/>
    <s v="Partial College"/>
    <s v="Clerical"/>
    <s v="No"/>
    <n v="2"/>
    <x v="0"/>
    <s v="Europe"/>
    <n v="36"/>
    <s v="Middle Age 31-54"/>
    <x v="1"/>
  </r>
  <r>
    <n v="20994"/>
    <x v="0"/>
    <s v="Female"/>
    <n v="20000"/>
    <n v="0"/>
    <s v="Bachelors"/>
    <s v="Clerical"/>
    <s v="No"/>
    <n v="0"/>
    <x v="0"/>
    <s v="Pacific"/>
    <n v="26"/>
    <s v="Adolescent 0-30"/>
    <x v="1"/>
  </r>
  <r>
    <n v="28379"/>
    <x v="0"/>
    <s v="Male"/>
    <n v="30000"/>
    <n v="1"/>
    <s v="Bachelors"/>
    <s v="Skilled Manual"/>
    <s v="Yes"/>
    <n v="2"/>
    <x v="0"/>
    <s v="Europe"/>
    <n v="40"/>
    <s v="Middle Age 31-54"/>
    <x v="0"/>
  </r>
  <r>
    <n v="14865"/>
    <x v="1"/>
    <s v="Male"/>
    <n v="40000"/>
    <n v="2"/>
    <s v="Partial College"/>
    <s v="Clerical"/>
    <s v="Yes"/>
    <n v="2"/>
    <x v="3"/>
    <s v="Europe"/>
    <n v="36"/>
    <s v="Middle Age 31-54"/>
    <x v="0"/>
  </r>
  <r>
    <n v="12663"/>
    <x v="0"/>
    <s v="Female"/>
    <n v="90000"/>
    <n v="5"/>
    <s v="Partial High School"/>
    <s v="Skilled Manual"/>
    <s v="Yes"/>
    <n v="2"/>
    <x v="4"/>
    <s v="Europe"/>
    <n v="59"/>
    <s v="Old 55+"/>
    <x v="0"/>
  </r>
  <r>
    <n v="24898"/>
    <x v="1"/>
    <s v="Female"/>
    <n v="80000"/>
    <n v="0"/>
    <s v="Bachelors"/>
    <s v="Professional"/>
    <s v="Yes"/>
    <n v="3"/>
    <x v="4"/>
    <s v="Pacific"/>
    <n v="32"/>
    <s v="Middle Age 31-54"/>
    <x v="0"/>
  </r>
  <r>
    <n v="19508"/>
    <x v="0"/>
    <s v="Male"/>
    <n v="10000"/>
    <n v="0"/>
    <s v="Partial High School"/>
    <s v="Manual"/>
    <s v="No"/>
    <n v="2"/>
    <x v="0"/>
    <s v="Europe"/>
    <n v="30"/>
    <s v="Adolescent 0-30"/>
    <x v="0"/>
  </r>
  <r>
    <n v="11489"/>
    <x v="1"/>
    <s v="Female"/>
    <n v="20000"/>
    <n v="0"/>
    <s v="Partial High School"/>
    <s v="Manual"/>
    <s v="No"/>
    <n v="2"/>
    <x v="3"/>
    <s v="Europe"/>
    <n v="35"/>
    <s v="Middle Age 31-54"/>
    <x v="1"/>
  </r>
  <r>
    <n v="18160"/>
    <x v="0"/>
    <s v="Male"/>
    <n v="130000"/>
    <n v="3"/>
    <s v="High School"/>
    <s v="Professional"/>
    <s v="Yes"/>
    <n v="4"/>
    <x v="2"/>
    <s v="Europe"/>
    <n v="51"/>
    <s v="Middle Age 31-54"/>
    <x v="1"/>
  </r>
  <r>
    <n v="25241"/>
    <x v="0"/>
    <s v="Male"/>
    <n v="90000"/>
    <n v="2"/>
    <s v="Bachelors"/>
    <s v="Professional"/>
    <s v="Yes"/>
    <n v="1"/>
    <x v="2"/>
    <s v="Pacific"/>
    <n v="47"/>
    <s v="Middle Age 31-54"/>
    <x v="0"/>
  </r>
  <r>
    <n v="24369"/>
    <x v="0"/>
    <s v="Male"/>
    <n v="80000"/>
    <n v="5"/>
    <s v="Graduate Degree"/>
    <s v="Management"/>
    <s v="No"/>
    <n v="2"/>
    <x v="0"/>
    <s v="Pacific"/>
    <n v="39"/>
    <s v="Middle Age 31-54"/>
    <x v="0"/>
  </r>
  <r>
    <n v="27165"/>
    <x v="1"/>
    <s v="Male"/>
    <n v="20000"/>
    <n v="0"/>
    <s v="Partial High School"/>
    <s v="Manual"/>
    <s v="No"/>
    <n v="2"/>
    <x v="0"/>
    <s v="Europe"/>
    <n v="34"/>
    <s v="Middle Age 31-54"/>
    <x v="0"/>
  </r>
  <r>
    <n v="29424"/>
    <x v="0"/>
    <s v="Male"/>
    <n v="10000"/>
    <n v="0"/>
    <s v="Partial High School"/>
    <s v="Manual"/>
    <s v="Yes"/>
    <n v="2"/>
    <x v="0"/>
    <s v="Europe"/>
    <n v="32"/>
    <s v="Middle Age 31-54"/>
    <x v="0"/>
  </r>
  <r>
    <n v="15926"/>
    <x v="1"/>
    <s v="Female"/>
    <n v="120000"/>
    <n v="3"/>
    <s v="High School"/>
    <s v="Professional"/>
    <s v="Yes"/>
    <n v="4"/>
    <x v="2"/>
    <s v="Europe"/>
    <n v="50"/>
    <s v="Middle Age 31-54"/>
    <x v="1"/>
  </r>
  <r>
    <n v="14554"/>
    <x v="0"/>
    <s v="Male"/>
    <n v="20000"/>
    <n v="1"/>
    <s v="Bachelors"/>
    <s v="Clerical"/>
    <s v="Yes"/>
    <n v="0"/>
    <x v="0"/>
    <s v="Europe"/>
    <n v="66"/>
    <s v="Old 55+"/>
    <x v="0"/>
  </r>
  <r>
    <n v="16468"/>
    <x v="1"/>
    <s v="Male"/>
    <n v="30000"/>
    <n v="0"/>
    <s v="Partial College"/>
    <s v="Clerical"/>
    <s v="Yes"/>
    <n v="1"/>
    <x v="1"/>
    <s v="Europe"/>
    <n v="30"/>
    <s v="Adolescent 0-30"/>
    <x v="0"/>
  </r>
  <r>
    <n v="19174"/>
    <x v="1"/>
    <s v="Female"/>
    <n v="30000"/>
    <n v="0"/>
    <s v="High School"/>
    <s v="Manual"/>
    <s v="No"/>
    <n v="1"/>
    <x v="1"/>
    <s v="Europe"/>
    <n v="32"/>
    <s v="Middle Age 31-54"/>
    <x v="1"/>
  </r>
  <r>
    <n v="19183"/>
    <x v="1"/>
    <s v="Male"/>
    <n v="10000"/>
    <n v="0"/>
    <s v="Partial High School"/>
    <s v="Manual"/>
    <s v="Yes"/>
    <n v="2"/>
    <x v="3"/>
    <s v="Europe"/>
    <n v="35"/>
    <s v="Middle Age 31-54"/>
    <x v="0"/>
  </r>
  <r>
    <n v="13683"/>
    <x v="1"/>
    <s v="Female"/>
    <n v="30000"/>
    <n v="0"/>
    <s v="High School"/>
    <s v="Manual"/>
    <s v="No"/>
    <n v="1"/>
    <x v="1"/>
    <s v="Europe"/>
    <n v="32"/>
    <s v="Middle Age 31-54"/>
    <x v="0"/>
  </r>
  <r>
    <n v="17848"/>
    <x v="1"/>
    <s v="Male"/>
    <n v="30000"/>
    <n v="0"/>
    <s v="Partial College"/>
    <s v="Clerical"/>
    <s v="No"/>
    <n v="1"/>
    <x v="1"/>
    <s v="Europe"/>
    <n v="31"/>
    <s v="Middle Age 31-54"/>
    <x v="1"/>
  </r>
  <r>
    <n v="17894"/>
    <x v="0"/>
    <s v="Female"/>
    <n v="20000"/>
    <n v="1"/>
    <s v="Bachelors"/>
    <s v="Clerical"/>
    <s v="Yes"/>
    <n v="0"/>
    <x v="0"/>
    <s v="Europe"/>
    <n v="50"/>
    <s v="Middle Age 31-54"/>
    <x v="1"/>
  </r>
  <r>
    <n v="25651"/>
    <x v="0"/>
    <s v="Male"/>
    <n v="40000"/>
    <n v="1"/>
    <s v="Bachelors"/>
    <s v="Skilled Manual"/>
    <s v="No"/>
    <n v="0"/>
    <x v="0"/>
    <s v="Europe"/>
    <n v="43"/>
    <s v="Middle Age 31-54"/>
    <x v="1"/>
  </r>
  <r>
    <n v="22936"/>
    <x v="1"/>
    <s v="Female"/>
    <n v="60000"/>
    <n v="1"/>
    <s v="Partial College"/>
    <s v="Skilled Manual"/>
    <s v="No"/>
    <n v="1"/>
    <x v="0"/>
    <s v="Pacific"/>
    <n v="45"/>
    <s v="Middle Age 31-54"/>
    <x v="1"/>
  </r>
  <r>
    <n v="23915"/>
    <x v="0"/>
    <s v="Male"/>
    <n v="20000"/>
    <n v="2"/>
    <s v="High School"/>
    <s v="Manual"/>
    <s v="Yes"/>
    <n v="2"/>
    <x v="0"/>
    <s v="Europe"/>
    <n v="42"/>
    <s v="Middle Age 31-54"/>
    <x v="0"/>
  </r>
  <r>
    <n v="24121"/>
    <x v="1"/>
    <s v="Female"/>
    <n v="30000"/>
    <n v="0"/>
    <s v="Partial College"/>
    <s v="Clerical"/>
    <s v="No"/>
    <n v="1"/>
    <x v="0"/>
    <s v="Europe"/>
    <n v="29"/>
    <s v="Adolescent 0-30"/>
    <x v="1"/>
  </r>
  <r>
    <n v="27878"/>
    <x v="1"/>
    <s v="Male"/>
    <n v="20000"/>
    <n v="0"/>
    <s v="Partial College"/>
    <s v="Manual"/>
    <s v="No"/>
    <n v="0"/>
    <x v="0"/>
    <s v="Pacific"/>
    <n v="28"/>
    <s v="Adolescent 0-30"/>
    <x v="1"/>
  </r>
  <r>
    <n v="13572"/>
    <x v="1"/>
    <s v="Male"/>
    <n v="10000"/>
    <n v="3"/>
    <s v="High School"/>
    <s v="Manual"/>
    <s v="Yes"/>
    <n v="0"/>
    <x v="0"/>
    <s v="Europe"/>
    <n v="37"/>
    <s v="Middle Age 31-54"/>
    <x v="1"/>
  </r>
  <r>
    <n v="27941"/>
    <x v="0"/>
    <s v="Female"/>
    <n v="80000"/>
    <n v="4"/>
    <s v="Partial College"/>
    <s v="Professional"/>
    <s v="Yes"/>
    <n v="2"/>
    <x v="1"/>
    <s v="Europe"/>
    <n v="53"/>
    <s v="Middle Age 31-54"/>
    <x v="0"/>
  </r>
  <r>
    <n v="26354"/>
    <x v="1"/>
    <s v="Male"/>
    <n v="40000"/>
    <n v="0"/>
    <s v="Graduate Degree"/>
    <s v="Clerical"/>
    <s v="No"/>
    <n v="0"/>
    <x v="0"/>
    <s v="Europe"/>
    <n v="38"/>
    <s v="Middle Age 31-54"/>
    <x v="1"/>
  </r>
  <r>
    <n v="14785"/>
    <x v="1"/>
    <s v="Male"/>
    <n v="30000"/>
    <n v="1"/>
    <s v="Bachelors"/>
    <s v="Clerical"/>
    <s v="No"/>
    <n v="1"/>
    <x v="3"/>
    <s v="Europe"/>
    <n v="39"/>
    <s v="Middle Age 31-54"/>
    <x v="0"/>
  </r>
  <r>
    <n v="17238"/>
    <x v="1"/>
    <s v="Male"/>
    <n v="80000"/>
    <n v="0"/>
    <s v="Bachelors"/>
    <s v="Professional"/>
    <s v="Yes"/>
    <n v="3"/>
    <x v="4"/>
    <s v="Pacific"/>
    <n v="32"/>
    <s v="Middle Age 31-54"/>
    <x v="0"/>
  </r>
  <r>
    <n v="23608"/>
    <x v="0"/>
    <s v="Female"/>
    <n v="150000"/>
    <n v="3"/>
    <s v="High School"/>
    <s v="Professional"/>
    <s v="Yes"/>
    <n v="3"/>
    <x v="0"/>
    <s v="Europe"/>
    <n v="51"/>
    <s v="Middle Age 31-54"/>
    <x v="1"/>
  </r>
  <r>
    <n v="22538"/>
    <x v="1"/>
    <s v="Female"/>
    <n v="10000"/>
    <n v="0"/>
    <s v="Partial High School"/>
    <s v="Manual"/>
    <s v="Yes"/>
    <n v="2"/>
    <x v="3"/>
    <s v="Europe"/>
    <n v="33"/>
    <s v="Middle Age 31-54"/>
    <x v="0"/>
  </r>
  <r>
    <n v="12332"/>
    <x v="0"/>
    <s v="Male"/>
    <n v="90000"/>
    <n v="4"/>
    <s v="High School"/>
    <s v="Management"/>
    <s v="Yes"/>
    <n v="3"/>
    <x v="2"/>
    <s v="Europe"/>
    <n v="58"/>
    <s v="Old 55+"/>
    <x v="1"/>
  </r>
  <r>
    <n v="17230"/>
    <x v="0"/>
    <s v="Male"/>
    <n v="80000"/>
    <n v="0"/>
    <s v="Bachelors"/>
    <s v="Professional"/>
    <s v="Yes"/>
    <n v="3"/>
    <x v="4"/>
    <s v="Pacific"/>
    <n v="30"/>
    <s v="Adolescent 0-30"/>
    <x v="0"/>
  </r>
  <r>
    <n v="13082"/>
    <x v="1"/>
    <s v="Male"/>
    <n v="130000"/>
    <n v="0"/>
    <s v="Graduate Degree"/>
    <s v="Management"/>
    <s v="Yes"/>
    <n v="0"/>
    <x v="1"/>
    <s v="Pacific"/>
    <n v="48"/>
    <s v="Middle Age 31-54"/>
    <x v="1"/>
  </r>
  <r>
    <n v="22518"/>
    <x v="1"/>
    <s v="Female"/>
    <n v="30000"/>
    <n v="3"/>
    <s v="Partial College"/>
    <s v="Clerical"/>
    <s v="No"/>
    <n v="2"/>
    <x v="0"/>
    <s v="Europe"/>
    <n v="27"/>
    <s v="Adolescent 0-30"/>
    <x v="1"/>
  </r>
  <r>
    <n v="13687"/>
    <x v="0"/>
    <s v="Male"/>
    <n v="40000"/>
    <n v="1"/>
    <s v="Bachelors"/>
    <s v="Skilled Manual"/>
    <s v="Yes"/>
    <n v="1"/>
    <x v="0"/>
    <s v="Europe"/>
    <n v="33"/>
    <s v="Middle Age 31-54"/>
    <x v="1"/>
  </r>
  <r>
    <n v="23571"/>
    <x v="0"/>
    <s v="Female"/>
    <n v="40000"/>
    <n v="2"/>
    <s v="Bachelors"/>
    <s v="Management"/>
    <s v="Yes"/>
    <n v="2"/>
    <x v="0"/>
    <s v="Pacific"/>
    <n v="66"/>
    <s v="Old 55+"/>
    <x v="1"/>
  </r>
  <r>
    <n v="19305"/>
    <x v="1"/>
    <s v="Female"/>
    <n v="10000"/>
    <n v="2"/>
    <s v="High School"/>
    <s v="Manual"/>
    <s v="Yes"/>
    <n v="1"/>
    <x v="0"/>
    <s v="Europe"/>
    <n v="38"/>
    <s v="Middle Age 31-54"/>
    <x v="1"/>
  </r>
  <r>
    <n v="22636"/>
    <x v="1"/>
    <s v="Female"/>
    <n v="40000"/>
    <n v="0"/>
    <s v="Bachelors"/>
    <s v="Clerical"/>
    <s v="No"/>
    <n v="0"/>
    <x v="0"/>
    <s v="Europe"/>
    <n v="38"/>
    <s v="Middle Age 31-54"/>
    <x v="1"/>
  </r>
  <r>
    <n v="17310"/>
    <x v="0"/>
    <s v="Male"/>
    <n v="60000"/>
    <n v="1"/>
    <s v="Partial College"/>
    <s v="Skilled Manual"/>
    <s v="Yes"/>
    <n v="1"/>
    <x v="0"/>
    <s v="Pacific"/>
    <n v="45"/>
    <s v="Middle Age 31-54"/>
    <x v="1"/>
  </r>
  <r>
    <n v="12133"/>
    <x v="0"/>
    <s v="Female"/>
    <n v="130000"/>
    <n v="3"/>
    <s v="Partial College"/>
    <s v="Professional"/>
    <s v="Yes"/>
    <n v="3"/>
    <x v="2"/>
    <s v="Europe"/>
    <n v="50"/>
    <s v="Middle Age 31-54"/>
    <x v="1"/>
  </r>
  <r>
    <n v="25918"/>
    <x v="1"/>
    <s v="Female"/>
    <n v="30000"/>
    <n v="2"/>
    <s v="Partial College"/>
    <s v="Clerical"/>
    <s v="No"/>
    <n v="2"/>
    <x v="2"/>
    <s v="Pacific"/>
    <n v="60"/>
    <s v="Old 55+"/>
    <x v="1"/>
  </r>
  <r>
    <n v="25752"/>
    <x v="1"/>
    <s v="Female"/>
    <n v="20000"/>
    <n v="2"/>
    <s v="Partial College"/>
    <s v="Manual"/>
    <s v="No"/>
    <n v="1"/>
    <x v="0"/>
    <s v="Europe"/>
    <n v="53"/>
    <s v="Middle Age 31-54"/>
    <x v="1"/>
  </r>
  <r>
    <n v="17324"/>
    <x v="0"/>
    <s v="Female"/>
    <n v="100000"/>
    <n v="4"/>
    <s v="Bachelors"/>
    <s v="Professional"/>
    <s v="Yes"/>
    <n v="1"/>
    <x v="4"/>
    <s v="Pacific"/>
    <n v="46"/>
    <s v="Middle Age 31-54"/>
    <x v="0"/>
  </r>
  <r>
    <n v="22918"/>
    <x v="1"/>
    <s v="Male"/>
    <n v="80000"/>
    <n v="5"/>
    <s v="Graduate Degree"/>
    <s v="Management"/>
    <s v="Yes"/>
    <n v="3"/>
    <x v="0"/>
    <s v="Pacific"/>
    <n v="50"/>
    <s v="Middle Age 31-54"/>
    <x v="0"/>
  </r>
  <r>
    <n v="12510"/>
    <x v="0"/>
    <s v="Male"/>
    <n v="40000"/>
    <n v="1"/>
    <s v="Bachelors"/>
    <s v="Skilled Manual"/>
    <s v="Yes"/>
    <n v="1"/>
    <x v="0"/>
    <s v="Europe"/>
    <n v="43"/>
    <s v="Middle Age 31-54"/>
    <x v="1"/>
  </r>
  <r>
    <n v="25512"/>
    <x v="1"/>
    <s v="Male"/>
    <n v="20000"/>
    <n v="0"/>
    <s v="High School"/>
    <s v="Manual"/>
    <s v="No"/>
    <n v="1"/>
    <x v="1"/>
    <s v="Europe"/>
    <n v="30"/>
    <s v="Adolescent 0-30"/>
    <x v="0"/>
  </r>
  <r>
    <n v="16179"/>
    <x v="1"/>
    <s v="Female"/>
    <n v="80000"/>
    <n v="5"/>
    <s v="Bachelors"/>
    <s v="Professional"/>
    <s v="Yes"/>
    <n v="4"/>
    <x v="3"/>
    <s v="Pacific"/>
    <n v="38"/>
    <s v="Middle Age 31-54"/>
    <x v="0"/>
  </r>
  <r>
    <n v="15628"/>
    <x v="0"/>
    <s v="Female"/>
    <n v="40000"/>
    <n v="1"/>
    <s v="Bachelors"/>
    <s v="Skilled Manual"/>
    <s v="Yes"/>
    <n v="1"/>
    <x v="0"/>
    <s v="Europe"/>
    <n v="89"/>
    <s v="Old 55+"/>
    <x v="0"/>
  </r>
  <r>
    <n v="20977"/>
    <x v="0"/>
    <s v="Male"/>
    <n v="20000"/>
    <n v="1"/>
    <s v="Bachelors"/>
    <s v="Clerical"/>
    <s v="Yes"/>
    <n v="0"/>
    <x v="0"/>
    <s v="Europe"/>
    <n v="64"/>
    <s v="Old 55+"/>
    <x v="1"/>
  </r>
  <r>
    <n v="18140"/>
    <x v="0"/>
    <s v="Male"/>
    <n v="130000"/>
    <n v="3"/>
    <s v="Partial College"/>
    <s v="Professional"/>
    <s v="No"/>
    <n v="3"/>
    <x v="2"/>
    <s v="Europe"/>
    <n v="51"/>
    <s v="Middle Age 31-54"/>
    <x v="1"/>
  </r>
  <r>
    <n v="20417"/>
    <x v="0"/>
    <s v="Male"/>
    <n v="30000"/>
    <n v="3"/>
    <s v="Partial College"/>
    <s v="Clerical"/>
    <s v="No"/>
    <n v="2"/>
    <x v="2"/>
    <s v="Pacific"/>
    <n v="56"/>
    <s v="Old 55+"/>
    <x v="0"/>
  </r>
  <r>
    <n v="18267"/>
    <x v="0"/>
    <s v="Male"/>
    <n v="60000"/>
    <n v="3"/>
    <s v="Bachelors"/>
    <s v="Professional"/>
    <s v="Yes"/>
    <n v="2"/>
    <x v="2"/>
    <s v="Pacific"/>
    <n v="43"/>
    <s v="Middle Age 31-54"/>
    <x v="0"/>
  </r>
  <r>
    <n v="13620"/>
    <x v="1"/>
    <s v="Male"/>
    <n v="70000"/>
    <n v="0"/>
    <s v="Bachelors"/>
    <s v="Professional"/>
    <s v="No"/>
    <n v="3"/>
    <x v="4"/>
    <s v="Pacific"/>
    <n v="30"/>
    <s v="Adolescent 0-30"/>
    <x v="1"/>
  </r>
  <r>
    <n v="22974"/>
    <x v="0"/>
    <s v="Female"/>
    <n v="30000"/>
    <n v="2"/>
    <s v="Partial College"/>
    <s v="Clerical"/>
    <s v="Yes"/>
    <n v="2"/>
    <x v="2"/>
    <s v="Pacific"/>
    <n v="69"/>
    <s v="Old 55+"/>
    <x v="0"/>
  </r>
  <r>
    <n v="13586"/>
    <x v="0"/>
    <s v="Male"/>
    <n v="80000"/>
    <n v="4"/>
    <s v="Partial College"/>
    <s v="Professional"/>
    <s v="Yes"/>
    <n v="2"/>
    <x v="4"/>
    <s v="Europe"/>
    <n v="53"/>
    <s v="Middle Age 31-54"/>
    <x v="0"/>
  </r>
  <r>
    <n v="17978"/>
    <x v="0"/>
    <s v="Male"/>
    <n v="40000"/>
    <n v="0"/>
    <s v="Graduate Degree"/>
    <s v="Clerical"/>
    <s v="Yes"/>
    <n v="0"/>
    <x v="0"/>
    <s v="Europe"/>
    <n v="37"/>
    <s v="Middle Age 31-54"/>
    <x v="1"/>
  </r>
  <r>
    <n v="12581"/>
    <x v="1"/>
    <s v="Female"/>
    <n v="10000"/>
    <n v="0"/>
    <s v="Partial College"/>
    <s v="Manual"/>
    <s v="No"/>
    <n v="1"/>
    <x v="0"/>
    <s v="Pacific"/>
    <n v="28"/>
    <s v="Adolescent 0-30"/>
    <x v="1"/>
  </r>
  <r>
    <n v="18018"/>
    <x v="1"/>
    <s v="Male"/>
    <n v="30000"/>
    <n v="3"/>
    <s v="Partial College"/>
    <s v="Clerical"/>
    <s v="Yes"/>
    <n v="0"/>
    <x v="0"/>
    <s v="Europe"/>
    <n v="43"/>
    <s v="Middle Age 31-54"/>
    <x v="0"/>
  </r>
  <r>
    <n v="28957"/>
    <x v="1"/>
    <s v="Female"/>
    <n v="120000"/>
    <n v="0"/>
    <s v="Partial High School"/>
    <s v="Professional"/>
    <s v="Yes"/>
    <n v="4"/>
    <x v="4"/>
    <s v="Pacific"/>
    <n v="34"/>
    <s v="Middle Age 31-54"/>
    <x v="1"/>
  </r>
  <r>
    <n v="13690"/>
    <x v="1"/>
    <s v="Female"/>
    <n v="20000"/>
    <n v="0"/>
    <s v="Partial High School"/>
    <s v="Manual"/>
    <s v="No"/>
    <n v="2"/>
    <x v="3"/>
    <s v="Europe"/>
    <n v="34"/>
    <s v="Middle Age 31-54"/>
    <x v="1"/>
  </r>
  <r>
    <n v="12568"/>
    <x v="0"/>
    <s v="Female"/>
    <n v="30000"/>
    <n v="1"/>
    <s v="Bachelors"/>
    <s v="Clerical"/>
    <s v="Yes"/>
    <n v="0"/>
    <x v="0"/>
    <s v="Europe"/>
    <n v="64"/>
    <s v="Old 55+"/>
    <x v="0"/>
  </r>
  <r>
    <n v="13122"/>
    <x v="0"/>
    <s v="Female"/>
    <n v="80000"/>
    <n v="0"/>
    <s v="Bachelors"/>
    <s v="Professional"/>
    <s v="Yes"/>
    <n v="1"/>
    <x v="3"/>
    <s v="Pacific"/>
    <n v="41"/>
    <s v="Middle Age 31-54"/>
    <x v="1"/>
  </r>
  <r>
    <n v="21184"/>
    <x v="1"/>
    <s v="Male"/>
    <n v="70000"/>
    <n v="0"/>
    <s v="Bachelors"/>
    <s v="Professional"/>
    <s v="No"/>
    <n v="1"/>
    <x v="2"/>
    <s v="Pacific"/>
    <n v="38"/>
    <s v="Middle Age 31-54"/>
    <x v="0"/>
  </r>
  <r>
    <n v="26150"/>
    <x v="1"/>
    <s v="Female"/>
    <n v="70000"/>
    <n v="0"/>
    <s v="Bachelors"/>
    <s v="Professional"/>
    <s v="No"/>
    <n v="1"/>
    <x v="0"/>
    <s v="Pacific"/>
    <n v="41"/>
    <s v="Middle Age 31-54"/>
    <x v="1"/>
  </r>
  <r>
    <n v="24151"/>
    <x v="1"/>
    <s v="Male"/>
    <n v="20000"/>
    <n v="1"/>
    <s v="Bachelors"/>
    <s v="Clerical"/>
    <s v="No"/>
    <n v="0"/>
    <x v="0"/>
    <s v="Europe"/>
    <n v="51"/>
    <s v="Middle Age 31-54"/>
    <x v="0"/>
  </r>
  <r>
    <n v="23962"/>
    <x v="0"/>
    <s v="Female"/>
    <n v="10000"/>
    <n v="0"/>
    <s v="Partial High School"/>
    <s v="Manual"/>
    <s v="Yes"/>
    <n v="2"/>
    <x v="3"/>
    <s v="Europe"/>
    <n v="32"/>
    <s v="Middle Age 31-54"/>
    <x v="0"/>
  </r>
  <r>
    <n v="17793"/>
    <x v="0"/>
    <s v="Female"/>
    <n v="40000"/>
    <n v="0"/>
    <s v="Bachelors"/>
    <s v="Clerical"/>
    <s v="Yes"/>
    <n v="0"/>
    <x v="0"/>
    <s v="Europe"/>
    <n v="38"/>
    <s v="Middle Age 31-54"/>
    <x v="1"/>
  </r>
  <r>
    <n v="14926"/>
    <x v="0"/>
    <s v="Male"/>
    <n v="30000"/>
    <n v="1"/>
    <s v="Bachelors"/>
    <s v="Clerical"/>
    <s v="Yes"/>
    <n v="0"/>
    <x v="0"/>
    <s v="Europe"/>
    <n v="38"/>
    <s v="Middle Age 31-54"/>
    <x v="1"/>
  </r>
  <r>
    <n v="16163"/>
    <x v="1"/>
    <s v="Male"/>
    <n v="60000"/>
    <n v="2"/>
    <s v="Bachelors"/>
    <s v="Professional"/>
    <s v="Yes"/>
    <n v="1"/>
    <x v="1"/>
    <s v="Pacific"/>
    <n v="38"/>
    <s v="Middle Age 31-54"/>
    <x v="1"/>
  </r>
  <r>
    <n v="21365"/>
    <x v="0"/>
    <s v="Female"/>
    <n v="10000"/>
    <n v="2"/>
    <s v="Partial High School"/>
    <s v="Clerical"/>
    <s v="Yes"/>
    <n v="2"/>
    <x v="2"/>
    <s v="Pacific"/>
    <n v="58"/>
    <s v="Old 55+"/>
    <x v="0"/>
  </r>
  <r>
    <n v="27771"/>
    <x v="1"/>
    <s v="Male"/>
    <n v="30000"/>
    <n v="1"/>
    <s v="Bachelors"/>
    <s v="Clerical"/>
    <s v="Yes"/>
    <n v="1"/>
    <x v="3"/>
    <s v="Europe"/>
    <n v="39"/>
    <s v="Middle Age 31-54"/>
    <x v="1"/>
  </r>
  <r>
    <n v="26167"/>
    <x v="1"/>
    <s v="Female"/>
    <n v="40000"/>
    <n v="2"/>
    <s v="Bachelors"/>
    <s v="Management"/>
    <s v="No"/>
    <n v="1"/>
    <x v="2"/>
    <s v="Pacific"/>
    <n v="53"/>
    <s v="Middle Age 31-54"/>
    <x v="1"/>
  </r>
  <r>
    <n v="25792"/>
    <x v="1"/>
    <s v="Female"/>
    <n v="110000"/>
    <n v="3"/>
    <s v="Bachelors"/>
    <s v="Management"/>
    <s v="Yes"/>
    <n v="4"/>
    <x v="4"/>
    <s v="Europe"/>
    <n v="53"/>
    <s v="Middle Age 31-54"/>
    <x v="0"/>
  </r>
  <r>
    <n v="11555"/>
    <x v="0"/>
    <s v="Female"/>
    <n v="40000"/>
    <n v="1"/>
    <s v="Bachelors"/>
    <s v="Clerical"/>
    <s v="Yes"/>
    <n v="0"/>
    <x v="0"/>
    <s v="Europe"/>
    <n v="80"/>
    <s v="Old 55+"/>
    <x v="0"/>
  </r>
  <r>
    <n v="22381"/>
    <x v="0"/>
    <s v="Male"/>
    <n v="10000"/>
    <n v="1"/>
    <s v="Graduate Degree"/>
    <s v="Manual"/>
    <s v="Yes"/>
    <n v="0"/>
    <x v="0"/>
    <s v="Europe"/>
    <n v="44"/>
    <s v="Middle Age 31-54"/>
    <x v="0"/>
  </r>
  <r>
    <n v="17882"/>
    <x v="0"/>
    <s v="Male"/>
    <n v="20000"/>
    <n v="1"/>
    <s v="Graduate Degree"/>
    <s v="Clerical"/>
    <s v="Yes"/>
    <n v="0"/>
    <x v="0"/>
    <s v="Europe"/>
    <n v="44"/>
    <s v="Middle Age 31-54"/>
    <x v="0"/>
  </r>
  <r>
    <n v="22174"/>
    <x v="0"/>
    <s v="Male"/>
    <n v="30000"/>
    <n v="3"/>
    <s v="High School"/>
    <s v="Skilled Manual"/>
    <s v="Yes"/>
    <n v="2"/>
    <x v="2"/>
    <s v="Pacific"/>
    <n v="54"/>
    <s v="Middle Age 31-54"/>
    <x v="1"/>
  </r>
  <r>
    <n v="22439"/>
    <x v="0"/>
    <s v="Female"/>
    <n v="30000"/>
    <n v="0"/>
    <s v="Bachelors"/>
    <s v="Clerical"/>
    <s v="Yes"/>
    <n v="0"/>
    <x v="0"/>
    <s v="Europe"/>
    <n v="37"/>
    <s v="Middle Age 31-54"/>
    <x v="1"/>
  </r>
  <r>
    <n v="18012"/>
    <x v="0"/>
    <s v="Female"/>
    <n v="40000"/>
    <n v="1"/>
    <s v="Bachelors"/>
    <s v="Skilled Manual"/>
    <s v="Yes"/>
    <n v="0"/>
    <x v="0"/>
    <s v="Europe"/>
    <n v="41"/>
    <s v="Middle Age 31-54"/>
    <x v="0"/>
  </r>
  <r>
    <n v="27582"/>
    <x v="1"/>
    <s v="Female"/>
    <n v="90000"/>
    <n v="2"/>
    <s v="Bachelors"/>
    <s v="Professional"/>
    <s v="No"/>
    <n v="0"/>
    <x v="0"/>
    <s v="Pacific"/>
    <n v="36"/>
    <s v="Middle Age 31-54"/>
    <x v="1"/>
  </r>
  <r>
    <n v="12744"/>
    <x v="1"/>
    <s v="Female"/>
    <n v="40000"/>
    <n v="2"/>
    <s v="Partial College"/>
    <s v="Clerical"/>
    <s v="Yes"/>
    <n v="0"/>
    <x v="0"/>
    <s v="Europe"/>
    <n v="33"/>
    <s v="Middle Age 31-54"/>
    <x v="0"/>
  </r>
  <r>
    <n v="22821"/>
    <x v="0"/>
    <s v="Female"/>
    <n v="130000"/>
    <n v="3"/>
    <s v="Partial College"/>
    <s v="Professional"/>
    <s v="Yes"/>
    <n v="4"/>
    <x v="0"/>
    <s v="Europe"/>
    <n v="52"/>
    <s v="Middle Age 31-54"/>
    <x v="0"/>
  </r>
  <r>
    <n v="20171"/>
    <x v="0"/>
    <s v="Female"/>
    <n v="20000"/>
    <n v="2"/>
    <s v="Partial College"/>
    <s v="Manual"/>
    <s v="Yes"/>
    <n v="1"/>
    <x v="0"/>
    <s v="Europe"/>
    <n v="46"/>
    <s v="Middle Age 31-54"/>
    <x v="1"/>
  </r>
  <r>
    <n v="11116"/>
    <x v="0"/>
    <s v="Male"/>
    <n v="70000"/>
    <n v="5"/>
    <s v="Partial College"/>
    <s v="Skilled Manual"/>
    <s v="Yes"/>
    <n v="2"/>
    <x v="2"/>
    <s v="Pacific"/>
    <n v="43"/>
    <s v="Middle Age 31-54"/>
    <x v="0"/>
  </r>
  <r>
    <n v="20053"/>
    <x v="1"/>
    <s v="Male"/>
    <n v="40000"/>
    <n v="2"/>
    <s v="Partial College"/>
    <s v="Clerical"/>
    <s v="Yes"/>
    <n v="0"/>
    <x v="0"/>
    <s v="Europe"/>
    <n v="34"/>
    <s v="Middle Age 31-54"/>
    <x v="0"/>
  </r>
  <r>
    <n v="25266"/>
    <x v="1"/>
    <s v="Female"/>
    <n v="30000"/>
    <n v="2"/>
    <s v="Partial College"/>
    <s v="Clerical"/>
    <s v="No"/>
    <n v="2"/>
    <x v="2"/>
    <s v="Pacific"/>
    <n v="67"/>
    <s v="Old 55+"/>
    <x v="0"/>
  </r>
  <r>
    <n v="17960"/>
    <x v="0"/>
    <s v="Female"/>
    <n v="40000"/>
    <n v="0"/>
    <s v="Graduate Degree"/>
    <s v="Clerical"/>
    <s v="Yes"/>
    <n v="0"/>
    <x v="0"/>
    <s v="Europe"/>
    <n v="35"/>
    <s v="Middle Age 31-54"/>
    <x v="1"/>
  </r>
  <r>
    <n v="13961"/>
    <x v="0"/>
    <s v="Female"/>
    <n v="80000"/>
    <n v="5"/>
    <s v="Graduate Degree"/>
    <s v="Management"/>
    <s v="Yes"/>
    <n v="3"/>
    <x v="0"/>
    <s v="Pacific"/>
    <n v="40"/>
    <s v="Middle Age 31-54"/>
    <x v="0"/>
  </r>
  <r>
    <n v="11897"/>
    <x v="1"/>
    <s v="Male"/>
    <n v="60000"/>
    <n v="2"/>
    <s v="Bachelors"/>
    <s v="Professional"/>
    <s v="No"/>
    <n v="1"/>
    <x v="0"/>
    <s v="Pacific"/>
    <n v="37"/>
    <s v="Middle Age 31-54"/>
    <x v="1"/>
  </r>
  <r>
    <n v="11139"/>
    <x v="1"/>
    <s v="Female"/>
    <n v="30000"/>
    <n v="2"/>
    <s v="Partial College"/>
    <s v="Clerical"/>
    <s v="No"/>
    <n v="2"/>
    <x v="2"/>
    <s v="Pacific"/>
    <n v="67"/>
    <s v="Old 55+"/>
    <x v="0"/>
  </r>
  <r>
    <n v="11576"/>
    <x v="0"/>
    <s v="Male"/>
    <n v="30000"/>
    <n v="1"/>
    <s v="Bachelors"/>
    <s v="Skilled Manual"/>
    <s v="Yes"/>
    <n v="2"/>
    <x v="0"/>
    <s v="Europe"/>
    <n v="41"/>
    <s v="Middle Age 31-54"/>
    <x v="1"/>
  </r>
  <r>
    <n v="19255"/>
    <x v="1"/>
    <s v="Male"/>
    <n v="10000"/>
    <n v="2"/>
    <s v="Partial College"/>
    <s v="Manual"/>
    <s v="Yes"/>
    <n v="1"/>
    <x v="0"/>
    <s v="Europe"/>
    <n v="51"/>
    <s v="Middle Age 31-54"/>
    <x v="1"/>
  </r>
  <r>
    <n v="18153"/>
    <x v="0"/>
    <s v="Female"/>
    <n v="100000"/>
    <n v="2"/>
    <s v="Bachelors"/>
    <s v="Management"/>
    <s v="Yes"/>
    <n v="4"/>
    <x v="4"/>
    <s v="Europe"/>
    <n v="59"/>
    <s v="Old 55+"/>
    <x v="0"/>
  </r>
  <r>
    <n v="14547"/>
    <x v="0"/>
    <s v="Male"/>
    <n v="10000"/>
    <n v="2"/>
    <s v="Partial College"/>
    <s v="Manual"/>
    <s v="Yes"/>
    <n v="0"/>
    <x v="3"/>
    <s v="Europe"/>
    <n v="51"/>
    <s v="Middle Age 31-54"/>
    <x v="0"/>
  </r>
  <r>
    <n v="24901"/>
    <x v="1"/>
    <s v="Male"/>
    <n v="110000"/>
    <n v="0"/>
    <s v="Partial College"/>
    <s v="Management"/>
    <s v="No"/>
    <n v="3"/>
    <x v="4"/>
    <s v="Pacific"/>
    <n v="32"/>
    <s v="Middle Age 31-54"/>
    <x v="1"/>
  </r>
  <r>
    <n v="27169"/>
    <x v="1"/>
    <s v="Male"/>
    <n v="30000"/>
    <n v="0"/>
    <s v="High School"/>
    <s v="Manual"/>
    <s v="Yes"/>
    <n v="1"/>
    <x v="1"/>
    <s v="Europe"/>
    <n v="34"/>
    <s v="Middle Age 31-54"/>
    <x v="1"/>
  </r>
  <r>
    <n v="14805"/>
    <x v="1"/>
    <s v="Female"/>
    <n v="10000"/>
    <n v="3"/>
    <s v="Partial High School"/>
    <s v="Manual"/>
    <s v="Yes"/>
    <n v="2"/>
    <x v="0"/>
    <s v="Europe"/>
    <n v="43"/>
    <s v="Middle Age 31-54"/>
    <x v="0"/>
  </r>
  <r>
    <n v="15822"/>
    <x v="0"/>
    <s v="Male"/>
    <n v="40000"/>
    <n v="2"/>
    <s v="Bachelors"/>
    <s v="Management"/>
    <s v="Yes"/>
    <n v="2"/>
    <x v="0"/>
    <s v="Pacific"/>
    <n v="67"/>
    <s v="Old 55+"/>
    <x v="0"/>
  </r>
  <r>
    <n v="19389"/>
    <x v="1"/>
    <s v="Male"/>
    <n v="30000"/>
    <n v="0"/>
    <s v="Partial College"/>
    <s v="Clerical"/>
    <s v="No"/>
    <n v="1"/>
    <x v="1"/>
    <s v="Europe"/>
    <n v="28"/>
    <s v="Adolescent 0-30"/>
    <x v="0"/>
  </r>
  <r>
    <n v="17048"/>
    <x v="1"/>
    <s v="Female"/>
    <n v="90000"/>
    <n v="1"/>
    <s v="Graduate Degree"/>
    <s v="Management"/>
    <s v="Yes"/>
    <n v="0"/>
    <x v="0"/>
    <s v="Pacific"/>
    <n v="36"/>
    <s v="Middle Age 31-54"/>
    <x v="1"/>
  </r>
  <r>
    <n v="22204"/>
    <x v="0"/>
    <s v="Male"/>
    <n v="110000"/>
    <n v="4"/>
    <s v="Bachelors"/>
    <s v="Management"/>
    <s v="Yes"/>
    <n v="3"/>
    <x v="1"/>
    <s v="Pacific"/>
    <n v="48"/>
    <s v="Middle Age 31-54"/>
    <x v="0"/>
  </r>
  <r>
    <n v="12718"/>
    <x v="1"/>
    <s v="Female"/>
    <n v="30000"/>
    <n v="0"/>
    <s v="Partial College"/>
    <s v="Clerical"/>
    <s v="Yes"/>
    <n v="1"/>
    <x v="1"/>
    <s v="Europe"/>
    <n v="31"/>
    <s v="Middle Age 31-54"/>
    <x v="0"/>
  </r>
  <r>
    <n v="15019"/>
    <x v="1"/>
    <s v="Female"/>
    <n v="30000"/>
    <n v="3"/>
    <s v="High School"/>
    <s v="Skilled Manual"/>
    <s v="Yes"/>
    <n v="2"/>
    <x v="2"/>
    <s v="Pacific"/>
    <n v="55"/>
    <s v="Old 55+"/>
    <x v="0"/>
  </r>
  <r>
    <n v="28488"/>
    <x v="1"/>
    <s v="Male"/>
    <n v="20000"/>
    <n v="0"/>
    <s v="Partial College"/>
    <s v="Manual"/>
    <s v="Yes"/>
    <n v="0"/>
    <x v="0"/>
    <s v="Pacific"/>
    <n v="28"/>
    <s v="Adolescent 0-30"/>
    <x v="1"/>
  </r>
  <r>
    <n v="21891"/>
    <x v="0"/>
    <s v="Female"/>
    <n v="110000"/>
    <n v="0"/>
    <s v="High School"/>
    <s v="Management"/>
    <s v="Yes"/>
    <n v="3"/>
    <x v="4"/>
    <s v="Pacific"/>
    <n v="34"/>
    <s v="Middle Age 31-54"/>
    <x v="1"/>
  </r>
  <r>
    <n v="27814"/>
    <x v="1"/>
    <s v="Female"/>
    <n v="30000"/>
    <n v="3"/>
    <s v="Partial College"/>
    <s v="Clerical"/>
    <s v="No"/>
    <n v="1"/>
    <x v="0"/>
    <s v="Europe"/>
    <n v="26"/>
    <s v="Adolescent 0-30"/>
    <x v="0"/>
  </r>
  <r>
    <n v="22175"/>
    <x v="0"/>
    <s v="Female"/>
    <n v="30000"/>
    <n v="3"/>
    <s v="High School"/>
    <s v="Skilled Manual"/>
    <s v="Yes"/>
    <n v="2"/>
    <x v="2"/>
    <s v="Pacific"/>
    <n v="53"/>
    <s v="Middle Age 31-54"/>
    <x v="1"/>
  </r>
  <r>
    <n v="29447"/>
    <x v="1"/>
    <s v="Female"/>
    <n v="10000"/>
    <n v="2"/>
    <s v="Bachelors"/>
    <s v="Clerical"/>
    <s v="No"/>
    <n v="1"/>
    <x v="1"/>
    <s v="Europe"/>
    <n v="68"/>
    <s v="Old 55+"/>
    <x v="0"/>
  </r>
  <r>
    <n v="19784"/>
    <x v="0"/>
    <s v="Female"/>
    <n v="80000"/>
    <n v="2"/>
    <s v="High School"/>
    <s v="Skilled Manual"/>
    <s v="Yes"/>
    <n v="2"/>
    <x v="2"/>
    <s v="Pacific"/>
    <n v="50"/>
    <s v="Middle Age 31-54"/>
    <x v="1"/>
  </r>
  <r>
    <n v="27824"/>
    <x v="1"/>
    <s v="Female"/>
    <n v="30000"/>
    <n v="3"/>
    <s v="Partial College"/>
    <s v="Clerical"/>
    <s v="Yes"/>
    <n v="2"/>
    <x v="0"/>
    <s v="Europe"/>
    <n v="28"/>
    <s v="Adolescent 0-30"/>
    <x v="1"/>
  </r>
  <r>
    <n v="24093"/>
    <x v="1"/>
    <s v="Female"/>
    <n v="80000"/>
    <n v="0"/>
    <s v="Graduate Degree"/>
    <s v="Skilled Manual"/>
    <s v="No"/>
    <n v="0"/>
    <x v="0"/>
    <s v="Europe"/>
    <n v="40"/>
    <s v="Middle Age 31-54"/>
    <x v="1"/>
  </r>
  <r>
    <n v="19618"/>
    <x v="0"/>
    <s v="Male"/>
    <n v="70000"/>
    <n v="5"/>
    <s v="Partial College"/>
    <s v="Skilled Manual"/>
    <s v="Yes"/>
    <n v="2"/>
    <x v="0"/>
    <s v="Pacific"/>
    <n v="44"/>
    <s v="Middle Age 31-54"/>
    <x v="0"/>
  </r>
  <r>
    <n v="21561"/>
    <x v="1"/>
    <s v="Male"/>
    <n v="90000"/>
    <n v="0"/>
    <s v="Bachelors"/>
    <s v="Professional"/>
    <s v="No"/>
    <n v="3"/>
    <x v="4"/>
    <s v="Pacific"/>
    <n v="34"/>
    <s v="Middle Age 31-54"/>
    <x v="1"/>
  </r>
  <r>
    <n v="11061"/>
    <x v="0"/>
    <s v="Male"/>
    <n v="70000"/>
    <n v="2"/>
    <s v="Partial College"/>
    <s v="Skilled Manual"/>
    <s v="Yes"/>
    <n v="2"/>
    <x v="2"/>
    <s v="Pacific"/>
    <n v="52"/>
    <s v="Middle Age 31-54"/>
    <x v="1"/>
  </r>
  <r>
    <n v="26651"/>
    <x v="1"/>
    <s v="Male"/>
    <n v="80000"/>
    <n v="4"/>
    <s v="Graduate Degree"/>
    <s v="Management"/>
    <s v="Yes"/>
    <n v="0"/>
    <x v="0"/>
    <s v="Pacific"/>
    <n v="36"/>
    <s v="Middle Age 31-54"/>
    <x v="1"/>
  </r>
  <r>
    <n v="21108"/>
    <x v="0"/>
    <s v="Female"/>
    <n v="40000"/>
    <n v="1"/>
    <s v="Bachelors"/>
    <s v="Skilled Manual"/>
    <s v="Yes"/>
    <n v="1"/>
    <x v="0"/>
    <s v="Europe"/>
    <n v="43"/>
    <s v="Middle Age 31-54"/>
    <x v="1"/>
  </r>
  <r>
    <n v="12731"/>
    <x v="1"/>
    <s v="Male"/>
    <n v="30000"/>
    <n v="0"/>
    <s v="High School"/>
    <s v="Manual"/>
    <s v="No"/>
    <n v="1"/>
    <x v="3"/>
    <s v="Europe"/>
    <n v="32"/>
    <s v="Middle Age 31-54"/>
    <x v="0"/>
  </r>
  <r>
    <n v="25307"/>
    <x v="0"/>
    <s v="Female"/>
    <n v="40000"/>
    <n v="1"/>
    <s v="Bachelors"/>
    <s v="Skilled Manual"/>
    <s v="Yes"/>
    <n v="1"/>
    <x v="3"/>
    <s v="Europe"/>
    <n v="32"/>
    <s v="Middle Age 31-54"/>
    <x v="1"/>
  </r>
  <r>
    <n v="14278"/>
    <x v="0"/>
    <s v="Female"/>
    <n v="130000"/>
    <n v="0"/>
    <s v="Graduate Degree"/>
    <s v="Management"/>
    <s v="Yes"/>
    <n v="1"/>
    <x v="4"/>
    <s v="Pacific"/>
    <n v="48"/>
    <s v="Middle Age 31-54"/>
    <x v="0"/>
  </r>
  <r>
    <n v="20711"/>
    <x v="0"/>
    <s v="Female"/>
    <n v="40000"/>
    <n v="1"/>
    <s v="Bachelors"/>
    <s v="Skilled Manual"/>
    <s v="Yes"/>
    <n v="0"/>
    <x v="3"/>
    <s v="Europe"/>
    <n v="32"/>
    <s v="Middle Age 31-54"/>
    <x v="1"/>
  </r>
  <r>
    <n v="11383"/>
    <x v="0"/>
    <s v="Female"/>
    <n v="30000"/>
    <n v="3"/>
    <s v="Graduate Degree"/>
    <s v="Clerical"/>
    <s v="Yes"/>
    <n v="0"/>
    <x v="0"/>
    <s v="Europe"/>
    <n v="46"/>
    <s v="Middle Age 31-54"/>
    <x v="0"/>
  </r>
  <r>
    <n v="12497"/>
    <x v="0"/>
    <s v="Female"/>
    <n v="40000"/>
    <n v="1"/>
    <s v="Bachelors"/>
    <s v="Skilled Manual"/>
    <s v="Yes"/>
    <n v="0"/>
    <x v="0"/>
    <s v="Europe"/>
    <n v="42"/>
    <s v="Middle Age 31-54"/>
    <x v="0"/>
  </r>
  <r>
    <n v="16559"/>
    <x v="1"/>
    <s v="Female"/>
    <n v="10000"/>
    <n v="2"/>
    <s v="High School"/>
    <s v="Manual"/>
    <s v="Yes"/>
    <n v="0"/>
    <x v="0"/>
    <s v="Europe"/>
    <n v="36"/>
    <s v="Middle Age 31-54"/>
    <x v="1"/>
  </r>
  <r>
    <n v="11585"/>
    <x v="0"/>
    <s v="Female"/>
    <n v="40000"/>
    <n v="1"/>
    <s v="Bachelors"/>
    <s v="Skilled Manual"/>
    <s v="Yes"/>
    <n v="0"/>
    <x v="0"/>
    <s v="Europe"/>
    <n v="41"/>
    <s v="Middle Age 31-54"/>
    <x v="0"/>
  </r>
  <r>
    <n v="20277"/>
    <x v="0"/>
    <s v="Female"/>
    <n v="30000"/>
    <n v="2"/>
    <s v="Partial College"/>
    <s v="Clerical"/>
    <s v="No"/>
    <n v="2"/>
    <x v="0"/>
    <s v="Pacific"/>
    <n v="69"/>
    <s v="Old 55+"/>
    <x v="0"/>
  </r>
  <r>
    <n v="26765"/>
    <x v="1"/>
    <s v="Female"/>
    <n v="70000"/>
    <n v="5"/>
    <s v="Partial College"/>
    <s v="Skilled Manual"/>
    <s v="Yes"/>
    <n v="2"/>
    <x v="2"/>
    <s v="Pacific"/>
    <n v="45"/>
    <s v="Middle Age 31-54"/>
    <x v="0"/>
  </r>
  <r>
    <n v="12389"/>
    <x v="1"/>
    <s v="Male"/>
    <n v="30000"/>
    <n v="0"/>
    <s v="High School"/>
    <s v="Manual"/>
    <s v="No"/>
    <n v="1"/>
    <x v="1"/>
    <s v="Europe"/>
    <n v="34"/>
    <s v="Middle Age 31-54"/>
    <x v="0"/>
  </r>
  <r>
    <n v="13585"/>
    <x v="0"/>
    <s v="Female"/>
    <n v="80000"/>
    <n v="4"/>
    <s v="Partial College"/>
    <s v="Professional"/>
    <s v="No"/>
    <n v="1"/>
    <x v="1"/>
    <s v="Europe"/>
    <n v="53"/>
    <s v="Middle Age 31-54"/>
    <x v="1"/>
  </r>
  <r>
    <n v="26385"/>
    <x v="1"/>
    <s v="Male"/>
    <n v="120000"/>
    <n v="3"/>
    <s v="High School"/>
    <s v="Professional"/>
    <s v="No"/>
    <n v="4"/>
    <x v="2"/>
    <s v="Europe"/>
    <n v="50"/>
    <s v="Middle Age 31-54"/>
    <x v="0"/>
  </r>
  <r>
    <n v="12236"/>
    <x v="0"/>
    <s v="Female"/>
    <n v="20000"/>
    <n v="1"/>
    <s v="Partial College"/>
    <s v="Manual"/>
    <s v="Yes"/>
    <n v="0"/>
    <x v="0"/>
    <s v="Europe"/>
    <n v="65"/>
    <s v="Old 55+"/>
    <x v="0"/>
  </r>
  <r>
    <n v="21560"/>
    <x v="0"/>
    <s v="Male"/>
    <n v="120000"/>
    <n v="0"/>
    <s v="Partial High School"/>
    <s v="Professional"/>
    <s v="Yes"/>
    <n v="4"/>
    <x v="4"/>
    <s v="Pacific"/>
    <n v="32"/>
    <s v="Middle Age 31-54"/>
    <x v="1"/>
  </r>
  <r>
    <n v="21554"/>
    <x v="1"/>
    <s v="Female"/>
    <n v="80000"/>
    <n v="0"/>
    <s v="Bachelors"/>
    <s v="Professional"/>
    <s v="No"/>
    <n v="3"/>
    <x v="4"/>
    <s v="Pacific"/>
    <n v="33"/>
    <s v="Middle Age 31-54"/>
    <x v="0"/>
  </r>
  <r>
    <n v="13662"/>
    <x v="1"/>
    <s v="Male"/>
    <n v="20000"/>
    <n v="0"/>
    <s v="Partial High School"/>
    <s v="Manual"/>
    <s v="Yes"/>
    <n v="2"/>
    <x v="3"/>
    <s v="Europe"/>
    <n v="31"/>
    <s v="Middle Age 31-54"/>
    <x v="1"/>
  </r>
  <r>
    <n v="13089"/>
    <x v="0"/>
    <s v="Female"/>
    <n v="120000"/>
    <n v="1"/>
    <s v="Bachelors"/>
    <s v="Management"/>
    <s v="Yes"/>
    <n v="2"/>
    <x v="0"/>
    <s v="Pacific"/>
    <n v="46"/>
    <s v="Middle Age 31-54"/>
    <x v="1"/>
  </r>
  <r>
    <n v="14791"/>
    <x v="0"/>
    <s v="Female"/>
    <n v="40000"/>
    <n v="0"/>
    <s v="Bachelors"/>
    <s v="Clerical"/>
    <s v="Yes"/>
    <n v="0"/>
    <x v="0"/>
    <s v="Europe"/>
    <n v="39"/>
    <s v="Middle Age 31-54"/>
    <x v="1"/>
  </r>
  <r>
    <n v="19331"/>
    <x v="1"/>
    <s v="Male"/>
    <n v="20000"/>
    <n v="2"/>
    <s v="High School"/>
    <s v="Manual"/>
    <s v="Yes"/>
    <n v="1"/>
    <x v="0"/>
    <s v="Europe"/>
    <n v="40"/>
    <s v="Middle Age 31-54"/>
    <x v="0"/>
  </r>
  <r>
    <n v="17754"/>
    <x v="1"/>
    <s v="Female"/>
    <n v="30000"/>
    <n v="3"/>
    <s v="Bachelors"/>
    <s v="Clerical"/>
    <s v="Yes"/>
    <n v="0"/>
    <x v="0"/>
    <s v="Europe"/>
    <n v="46"/>
    <s v="Middle Age 31-54"/>
    <x v="1"/>
  </r>
  <r>
    <n v="11149"/>
    <x v="0"/>
    <s v="Male"/>
    <n v="40000"/>
    <n v="2"/>
    <s v="Bachelors"/>
    <s v="Management"/>
    <s v="Yes"/>
    <n v="2"/>
    <x v="0"/>
    <s v="Pacific"/>
    <n v="65"/>
    <s v="Old 55+"/>
    <x v="0"/>
  </r>
  <r>
    <n v="16549"/>
    <x v="1"/>
    <s v="Female"/>
    <n v="30000"/>
    <n v="3"/>
    <s v="Bachelors"/>
    <s v="Clerical"/>
    <s v="Yes"/>
    <n v="0"/>
    <x v="0"/>
    <s v="Europe"/>
    <n v="47"/>
    <s v="Middle Age 31-54"/>
    <x v="1"/>
  </r>
  <r>
    <n v="24305"/>
    <x v="1"/>
    <s v="Male"/>
    <n v="100000"/>
    <n v="1"/>
    <s v="Bachelors"/>
    <s v="Management"/>
    <s v="No"/>
    <n v="3"/>
    <x v="0"/>
    <s v="Pacific"/>
    <n v="46"/>
    <s v="Middle Age 31-54"/>
    <x v="1"/>
  </r>
  <r>
    <n v="18253"/>
    <x v="0"/>
    <s v="Female"/>
    <n v="80000"/>
    <n v="5"/>
    <s v="Graduate Degree"/>
    <s v="Management"/>
    <s v="Yes"/>
    <n v="3"/>
    <x v="0"/>
    <s v="Pacific"/>
    <n v="40"/>
    <s v="Middle Age 31-54"/>
    <x v="0"/>
  </r>
  <r>
    <n v="20147"/>
    <x v="0"/>
    <s v="Female"/>
    <n v="30000"/>
    <n v="1"/>
    <s v="Bachelors"/>
    <s v="Clerical"/>
    <s v="Yes"/>
    <n v="0"/>
    <x v="0"/>
    <s v="Europe"/>
    <n v="65"/>
    <s v="Old 55+"/>
    <x v="0"/>
  </r>
  <r>
    <n v="15612"/>
    <x v="1"/>
    <s v="Male"/>
    <n v="30000"/>
    <n v="0"/>
    <s v="High School"/>
    <s v="Manual"/>
    <s v="No"/>
    <n v="1"/>
    <x v="3"/>
    <s v="Europe"/>
    <n v="28"/>
    <s v="Adolescent 0-30"/>
    <x v="0"/>
  </r>
  <r>
    <n v="28323"/>
    <x v="1"/>
    <s v="Male"/>
    <n v="70000"/>
    <n v="0"/>
    <s v="Bachelors"/>
    <s v="Professional"/>
    <s v="No"/>
    <n v="2"/>
    <x v="2"/>
    <s v="Pacific"/>
    <n v="43"/>
    <s v="Middle Age 31-54"/>
    <x v="1"/>
  </r>
  <r>
    <n v="22634"/>
    <x v="1"/>
    <s v="Female"/>
    <n v="40000"/>
    <n v="0"/>
    <s v="Graduate Degree"/>
    <s v="Clerical"/>
    <s v="Yes"/>
    <n v="0"/>
    <x v="0"/>
    <s v="Europe"/>
    <n v="38"/>
    <s v="Middle Age 31-54"/>
    <x v="1"/>
  </r>
  <r>
    <n v="15665"/>
    <x v="0"/>
    <s v="Female"/>
    <n v="30000"/>
    <n v="0"/>
    <s v="Bachelors"/>
    <s v="Clerical"/>
    <s v="Yes"/>
    <n v="0"/>
    <x v="0"/>
    <s v="Europe"/>
    <n v="47"/>
    <s v="Middle Age 31-54"/>
    <x v="1"/>
  </r>
  <r>
    <n v="27585"/>
    <x v="0"/>
    <s v="Female"/>
    <n v="90000"/>
    <n v="2"/>
    <s v="Bachelors"/>
    <s v="Professional"/>
    <s v="No"/>
    <n v="0"/>
    <x v="0"/>
    <s v="Pacific"/>
    <n v="36"/>
    <s v="Middle Age 31-54"/>
    <x v="1"/>
  </r>
  <r>
    <n v="19748"/>
    <x v="0"/>
    <s v="Male"/>
    <n v="20000"/>
    <n v="4"/>
    <s v="High School"/>
    <s v="Skilled Manual"/>
    <s v="No"/>
    <n v="2"/>
    <x v="3"/>
    <s v="Pacific"/>
    <n v="60"/>
    <s v="Old 55+"/>
    <x v="0"/>
  </r>
  <r>
    <n v="21974"/>
    <x v="1"/>
    <s v="Female"/>
    <n v="70000"/>
    <n v="0"/>
    <s v="Bachelors"/>
    <s v="Professional"/>
    <s v="Yes"/>
    <n v="1"/>
    <x v="2"/>
    <s v="Pacific"/>
    <n v="42"/>
    <s v="Middle Age 31-54"/>
    <x v="1"/>
  </r>
  <r>
    <n v="14032"/>
    <x v="0"/>
    <s v="Male"/>
    <n v="70000"/>
    <n v="2"/>
    <s v="High School"/>
    <s v="Skilled Manual"/>
    <s v="No"/>
    <n v="2"/>
    <x v="3"/>
    <s v="Pacific"/>
    <n v="50"/>
    <s v="Middle Age 31-54"/>
    <x v="1"/>
  </r>
  <r>
    <n v="22610"/>
    <x v="0"/>
    <s v="Male"/>
    <n v="30000"/>
    <n v="0"/>
    <s v="Bachelors"/>
    <s v="Clerical"/>
    <s v="Yes"/>
    <n v="0"/>
    <x v="0"/>
    <s v="Europe"/>
    <n v="35"/>
    <s v="Middle Age 31-54"/>
    <x v="1"/>
  </r>
  <r>
    <n v="26984"/>
    <x v="0"/>
    <s v="Male"/>
    <n v="40000"/>
    <n v="1"/>
    <s v="Bachelors"/>
    <s v="Skilled Manual"/>
    <s v="Yes"/>
    <n v="1"/>
    <x v="0"/>
    <s v="Europe"/>
    <n v="32"/>
    <s v="Middle Age 31-54"/>
    <x v="1"/>
  </r>
  <r>
    <n v="18294"/>
    <x v="0"/>
    <s v="Female"/>
    <n v="90000"/>
    <n v="1"/>
    <s v="Bachelors"/>
    <s v="Professional"/>
    <s v="Yes"/>
    <n v="1"/>
    <x v="2"/>
    <s v="Pacific"/>
    <n v="46"/>
    <s v="Middle Age 31-54"/>
    <x v="0"/>
  </r>
  <r>
    <n v="28564"/>
    <x v="1"/>
    <s v="Female"/>
    <n v="40000"/>
    <n v="2"/>
    <s v="Partial College"/>
    <s v="Clerical"/>
    <s v="Yes"/>
    <n v="0"/>
    <x v="3"/>
    <s v="Europe"/>
    <n v="33"/>
    <s v="Middle Age 31-54"/>
    <x v="1"/>
  </r>
  <r>
    <n v="28521"/>
    <x v="1"/>
    <s v="Male"/>
    <n v="40000"/>
    <n v="0"/>
    <s v="Graduate Degree"/>
    <s v="Clerical"/>
    <s v="No"/>
    <n v="0"/>
    <x v="0"/>
    <s v="Europe"/>
    <n v="36"/>
    <s v="Middle Age 31-54"/>
    <x v="1"/>
  </r>
  <r>
    <n v="15450"/>
    <x v="0"/>
    <s v="Male"/>
    <n v="10000"/>
    <n v="1"/>
    <s v="Graduate Degree"/>
    <s v="Clerical"/>
    <s v="Yes"/>
    <n v="0"/>
    <x v="0"/>
    <s v="Europe"/>
    <n v="70"/>
    <s v="Old 55+"/>
    <x v="0"/>
  </r>
  <r>
    <n v="25681"/>
    <x v="1"/>
    <s v="Female"/>
    <n v="30000"/>
    <n v="0"/>
    <s v="Partial College"/>
    <s v="Clerical"/>
    <s v="No"/>
    <n v="1"/>
    <x v="1"/>
    <s v="Europe"/>
    <n v="31"/>
    <s v="Middle Age 31-54"/>
    <x v="1"/>
  </r>
  <r>
    <n v="19491"/>
    <x v="1"/>
    <s v="Male"/>
    <n v="30000"/>
    <n v="2"/>
    <s v="Partial College"/>
    <s v="Clerical"/>
    <s v="Yes"/>
    <n v="2"/>
    <x v="0"/>
    <s v="Europe"/>
    <n v="42"/>
    <s v="Middle Age 31-54"/>
    <x v="0"/>
  </r>
  <r>
    <n v="26415"/>
    <x v="0"/>
    <s v="Female"/>
    <n v="90000"/>
    <n v="4"/>
    <s v="Partial High School"/>
    <s v="Skilled Manual"/>
    <s v="Yes"/>
    <n v="4"/>
    <x v="4"/>
    <s v="Europe"/>
    <n v="58"/>
    <s v="Old 55+"/>
    <x v="0"/>
  </r>
  <r>
    <n v="12821"/>
    <x v="0"/>
    <s v="Male"/>
    <n v="40000"/>
    <n v="0"/>
    <s v="Bachelors"/>
    <s v="Clerical"/>
    <s v="Yes"/>
    <n v="0"/>
    <x v="0"/>
    <s v="Europe"/>
    <n v="39"/>
    <s v="Middle Age 31-54"/>
    <x v="0"/>
  </r>
  <r>
    <n v="15629"/>
    <x v="1"/>
    <s v="Female"/>
    <n v="10000"/>
    <n v="0"/>
    <s v="Partial High School"/>
    <s v="Manual"/>
    <s v="Yes"/>
    <n v="2"/>
    <x v="3"/>
    <s v="Europe"/>
    <n v="34"/>
    <s v="Middle Age 31-54"/>
    <x v="0"/>
  </r>
  <r>
    <n v="27835"/>
    <x v="0"/>
    <s v="Male"/>
    <n v="20000"/>
    <n v="0"/>
    <s v="Partial High School"/>
    <s v="Manual"/>
    <s v="Yes"/>
    <n v="2"/>
    <x v="0"/>
    <s v="Europe"/>
    <n v="32"/>
    <s v="Middle Age 31-54"/>
    <x v="0"/>
  </r>
  <r>
    <n v="11738"/>
    <x v="0"/>
    <s v="Male"/>
    <n v="60000"/>
    <n v="4"/>
    <s v="Bachelors"/>
    <s v="Professional"/>
    <s v="Yes"/>
    <n v="0"/>
    <x v="1"/>
    <s v="North America"/>
    <n v="46"/>
    <s v="Middle Age 31-54"/>
    <x v="0"/>
  </r>
  <r>
    <n v="25065"/>
    <x v="0"/>
    <s v="Male"/>
    <n v="70000"/>
    <n v="2"/>
    <s v="Partial High School"/>
    <s v="Skilled Manual"/>
    <s v="Yes"/>
    <n v="2"/>
    <x v="2"/>
    <s v="North America"/>
    <n v="48"/>
    <s v="Middle Age 31-54"/>
    <x v="0"/>
  </r>
  <r>
    <n v="26238"/>
    <x v="1"/>
    <s v="Female"/>
    <n v="40000"/>
    <n v="3"/>
    <s v="Partial College"/>
    <s v="Clerical"/>
    <s v="Yes"/>
    <n v="1"/>
    <x v="3"/>
    <s v="North America"/>
    <n v="31"/>
    <s v="Middle Age 31-54"/>
    <x v="1"/>
  </r>
  <r>
    <n v="23707"/>
    <x v="1"/>
    <s v="Male"/>
    <n v="70000"/>
    <n v="5"/>
    <s v="Bachelors"/>
    <s v="Management"/>
    <s v="Yes"/>
    <n v="3"/>
    <x v="4"/>
    <s v="North America"/>
    <n v="60"/>
    <s v="Old 55+"/>
    <x v="1"/>
  </r>
  <r>
    <n v="27650"/>
    <x v="0"/>
    <s v="Male"/>
    <n v="70000"/>
    <n v="4"/>
    <s v="High School"/>
    <s v="Professional"/>
    <s v="Yes"/>
    <n v="0"/>
    <x v="2"/>
    <s v="North America"/>
    <n v="51"/>
    <s v="Middle Age 31-54"/>
    <x v="0"/>
  </r>
  <r>
    <n v="24981"/>
    <x v="0"/>
    <s v="Male"/>
    <n v="60000"/>
    <n v="2"/>
    <s v="Partial College"/>
    <s v="Professional"/>
    <s v="Yes"/>
    <n v="2"/>
    <x v="4"/>
    <s v="North America"/>
    <n v="56"/>
    <s v="Old 55+"/>
    <x v="0"/>
  </r>
  <r>
    <n v="20678"/>
    <x v="1"/>
    <s v="Female"/>
    <n v="60000"/>
    <n v="3"/>
    <s v="Bachelors"/>
    <s v="Skilled Manual"/>
    <s v="Yes"/>
    <n v="1"/>
    <x v="1"/>
    <s v="North America"/>
    <n v="40"/>
    <s v="Middle Age 31-54"/>
    <x v="1"/>
  </r>
  <r>
    <n v="15302"/>
    <x v="1"/>
    <s v="Female"/>
    <n v="70000"/>
    <n v="1"/>
    <s v="Graduate Degree"/>
    <s v="Professional"/>
    <s v="Yes"/>
    <n v="0"/>
    <x v="1"/>
    <s v="North America"/>
    <n v="34"/>
    <s v="Middle Age 31-54"/>
    <x v="1"/>
  </r>
  <r>
    <n v="26012"/>
    <x v="0"/>
    <s v="Male"/>
    <n v="80000"/>
    <n v="1"/>
    <s v="Partial College"/>
    <s v="Skilled Manual"/>
    <s v="Yes"/>
    <n v="1"/>
    <x v="1"/>
    <s v="North America"/>
    <n v="48"/>
    <s v="Middle Age 31-54"/>
    <x v="1"/>
  </r>
  <r>
    <n v="26575"/>
    <x v="1"/>
    <s v="Female"/>
    <n v="40000"/>
    <n v="0"/>
    <s v="High School"/>
    <s v="Skilled Manual"/>
    <s v="No"/>
    <n v="2"/>
    <x v="3"/>
    <s v="North America"/>
    <n v="31"/>
    <s v="Middle Age 31-54"/>
    <x v="1"/>
  </r>
  <r>
    <n v="15559"/>
    <x v="0"/>
    <s v="Male"/>
    <n v="60000"/>
    <n v="5"/>
    <s v="Bachelors"/>
    <s v="Professional"/>
    <s v="Yes"/>
    <n v="1"/>
    <x v="1"/>
    <s v="North America"/>
    <n v="47"/>
    <s v="Middle Age 31-54"/>
    <x v="0"/>
  </r>
  <r>
    <n v="19235"/>
    <x v="0"/>
    <s v="Female"/>
    <n v="50000"/>
    <n v="0"/>
    <s v="Graduate Degree"/>
    <s v="Skilled Manual"/>
    <s v="Yes"/>
    <n v="0"/>
    <x v="0"/>
    <s v="North America"/>
    <n v="34"/>
    <s v="Middle Age 31-54"/>
    <x v="0"/>
  </r>
  <r>
    <n v="15275"/>
    <x v="0"/>
    <s v="Male"/>
    <n v="40000"/>
    <n v="0"/>
    <s v="Partial College"/>
    <s v="Skilled Manual"/>
    <s v="Yes"/>
    <n v="1"/>
    <x v="2"/>
    <s v="North America"/>
    <n v="29"/>
    <s v="Adolescent 0-30"/>
    <x v="0"/>
  </r>
  <r>
    <n v="20339"/>
    <x v="0"/>
    <s v="Female"/>
    <n v="130000"/>
    <n v="1"/>
    <s v="Bachelors"/>
    <s v="Management"/>
    <s v="Yes"/>
    <n v="4"/>
    <x v="1"/>
    <s v="North America"/>
    <n v="44"/>
    <s v="Middle Age 31-54"/>
    <x v="1"/>
  </r>
  <r>
    <n v="25405"/>
    <x v="0"/>
    <s v="Male"/>
    <n v="70000"/>
    <n v="2"/>
    <s v="Bachelors"/>
    <s v="Skilled Manual"/>
    <s v="Yes"/>
    <n v="1"/>
    <x v="1"/>
    <s v="North America"/>
    <n v="38"/>
    <s v="Middle Age 31-54"/>
    <x v="1"/>
  </r>
  <r>
    <n v="15940"/>
    <x v="0"/>
    <s v="Male"/>
    <n v="100000"/>
    <n v="4"/>
    <s v="Partial College"/>
    <s v="Professional"/>
    <s v="Yes"/>
    <n v="4"/>
    <x v="0"/>
    <s v="North America"/>
    <n v="40"/>
    <s v="Middle Age 31-54"/>
    <x v="0"/>
  </r>
  <r>
    <n v="25074"/>
    <x v="0"/>
    <s v="Female"/>
    <n v="70000"/>
    <n v="4"/>
    <s v="Bachelors"/>
    <s v="Professional"/>
    <s v="Yes"/>
    <n v="2"/>
    <x v="1"/>
    <s v="North America"/>
    <n v="42"/>
    <s v="Middle Age 31-54"/>
    <x v="1"/>
  </r>
  <r>
    <n v="24738"/>
    <x v="0"/>
    <s v="Female"/>
    <n v="40000"/>
    <n v="1"/>
    <s v="Partial College"/>
    <s v="Clerical"/>
    <s v="Yes"/>
    <n v="1"/>
    <x v="3"/>
    <s v="North America"/>
    <n v="51"/>
    <s v="Middle Age 31-54"/>
    <x v="1"/>
  </r>
  <r>
    <n v="16337"/>
    <x v="0"/>
    <s v="Male"/>
    <n v="60000"/>
    <n v="0"/>
    <s v="Partial College"/>
    <s v="Skilled Manual"/>
    <s v="No"/>
    <n v="2"/>
    <x v="3"/>
    <s v="North America"/>
    <n v="29"/>
    <s v="Adolescent 0-30"/>
    <x v="0"/>
  </r>
  <r>
    <n v="24357"/>
    <x v="0"/>
    <s v="Male"/>
    <n v="80000"/>
    <n v="3"/>
    <s v="Bachelors"/>
    <s v="Professional"/>
    <s v="Yes"/>
    <n v="1"/>
    <x v="1"/>
    <s v="North America"/>
    <n v="48"/>
    <s v="Middle Age 31-54"/>
    <x v="1"/>
  </r>
  <r>
    <n v="18613"/>
    <x v="1"/>
    <s v="Male"/>
    <n v="70000"/>
    <n v="0"/>
    <s v="Bachelors"/>
    <s v="Professional"/>
    <s v="No"/>
    <n v="1"/>
    <x v="1"/>
    <s v="North America"/>
    <n v="37"/>
    <s v="Middle Age 31-54"/>
    <x v="1"/>
  </r>
  <r>
    <n v="12207"/>
    <x v="1"/>
    <s v="Male"/>
    <n v="80000"/>
    <n v="4"/>
    <s v="Bachelors"/>
    <s v="Management"/>
    <s v="Yes"/>
    <n v="0"/>
    <x v="2"/>
    <s v="North America"/>
    <n v="66"/>
    <s v="Old 55+"/>
    <x v="1"/>
  </r>
  <r>
    <n v="18052"/>
    <x v="0"/>
    <s v="Female"/>
    <n v="60000"/>
    <n v="1"/>
    <s v="Partial College"/>
    <s v="Skilled Manual"/>
    <s v="Yes"/>
    <n v="1"/>
    <x v="0"/>
    <s v="North America"/>
    <n v="45"/>
    <s v="Middle Age 31-54"/>
    <x v="1"/>
  </r>
  <r>
    <n v="13353"/>
    <x v="1"/>
    <s v="Female"/>
    <n v="60000"/>
    <n v="4"/>
    <s v="Graduate Degree"/>
    <s v="Management"/>
    <s v="Yes"/>
    <n v="2"/>
    <x v="4"/>
    <s v="North America"/>
    <n v="61"/>
    <s v="Old 55+"/>
    <x v="1"/>
  </r>
  <r>
    <n v="19399"/>
    <x v="1"/>
    <s v="Male"/>
    <n v="40000"/>
    <n v="0"/>
    <s v="Bachelors"/>
    <s v="Professional"/>
    <s v="No"/>
    <n v="1"/>
    <x v="1"/>
    <s v="North America"/>
    <n v="45"/>
    <s v="Middle Age 31-54"/>
    <x v="0"/>
  </r>
  <r>
    <n v="16154"/>
    <x v="0"/>
    <s v="Female"/>
    <n v="70000"/>
    <n v="5"/>
    <s v="Bachelors"/>
    <s v="Professional"/>
    <s v="Yes"/>
    <n v="2"/>
    <x v="1"/>
    <s v="North America"/>
    <n v="47"/>
    <s v="Middle Age 31-54"/>
    <x v="0"/>
  </r>
  <r>
    <n v="22219"/>
    <x v="0"/>
    <s v="Female"/>
    <n v="60000"/>
    <n v="2"/>
    <s v="High School"/>
    <s v="Professional"/>
    <s v="Yes"/>
    <n v="2"/>
    <x v="2"/>
    <s v="North America"/>
    <n v="49"/>
    <s v="Middle Age 31-54"/>
    <x v="0"/>
  </r>
  <r>
    <n v="17269"/>
    <x v="1"/>
    <s v="Male"/>
    <n v="60000"/>
    <n v="3"/>
    <s v="Bachelors"/>
    <s v="Professional"/>
    <s v="No"/>
    <n v="0"/>
    <x v="0"/>
    <s v="North America"/>
    <n v="47"/>
    <s v="Middle Age 31-54"/>
    <x v="1"/>
  </r>
  <r>
    <n v="23586"/>
    <x v="0"/>
    <s v="Female"/>
    <n v="80000"/>
    <n v="0"/>
    <s v="Bachelors"/>
    <s v="Management"/>
    <s v="Yes"/>
    <n v="1"/>
    <x v="3"/>
    <s v="North America"/>
    <n v="34"/>
    <s v="Middle Age 31-54"/>
    <x v="1"/>
  </r>
  <r>
    <n v="15740"/>
    <x v="0"/>
    <s v="Male"/>
    <n v="80000"/>
    <n v="5"/>
    <s v="Bachelors"/>
    <s v="Management"/>
    <s v="Yes"/>
    <n v="2"/>
    <x v="3"/>
    <s v="North America"/>
    <n v="64"/>
    <s v="Old 55+"/>
    <x v="0"/>
  </r>
  <r>
    <n v="27638"/>
    <x v="1"/>
    <s v="Male"/>
    <n v="100000"/>
    <n v="1"/>
    <s v="Partial College"/>
    <s v="Professional"/>
    <s v="No"/>
    <n v="3"/>
    <x v="3"/>
    <s v="North America"/>
    <n v="44"/>
    <s v="Middle Age 31-54"/>
    <x v="0"/>
  </r>
  <r>
    <n v="18976"/>
    <x v="1"/>
    <s v="Male"/>
    <n v="40000"/>
    <n v="4"/>
    <s v="High School"/>
    <s v="Professional"/>
    <s v="Yes"/>
    <n v="2"/>
    <x v="4"/>
    <s v="North America"/>
    <n v="62"/>
    <s v="Old 55+"/>
    <x v="1"/>
  </r>
  <r>
    <n v="19413"/>
    <x v="1"/>
    <s v="Male"/>
    <n v="60000"/>
    <n v="3"/>
    <s v="Bachelors"/>
    <s v="Professional"/>
    <s v="No"/>
    <n v="1"/>
    <x v="0"/>
    <s v="North America"/>
    <n v="47"/>
    <s v="Middle Age 31-54"/>
    <x v="1"/>
  </r>
  <r>
    <n v="13283"/>
    <x v="0"/>
    <s v="Male"/>
    <n v="80000"/>
    <n v="3"/>
    <s v="Partial College"/>
    <s v="Professional"/>
    <s v="No"/>
    <n v="2"/>
    <x v="0"/>
    <s v="North America"/>
    <n v="49"/>
    <s v="Middle Age 31-54"/>
    <x v="1"/>
  </r>
  <r>
    <n v="17471"/>
    <x v="1"/>
    <s v="Female"/>
    <n v="80000"/>
    <n v="4"/>
    <s v="Graduate Degree"/>
    <s v="Management"/>
    <s v="Yes"/>
    <n v="2"/>
    <x v="2"/>
    <s v="North America"/>
    <n v="67"/>
    <s v="Old 55+"/>
    <x v="0"/>
  </r>
  <r>
    <n v="16791"/>
    <x v="1"/>
    <s v="Male"/>
    <n v="60000"/>
    <n v="5"/>
    <s v="Bachelors"/>
    <s v="Management"/>
    <s v="Yes"/>
    <n v="3"/>
    <x v="4"/>
    <s v="North America"/>
    <n v="59"/>
    <s v="Old 55+"/>
    <x v="1"/>
  </r>
  <r>
    <n v="15382"/>
    <x v="0"/>
    <s v="Female"/>
    <n v="110000"/>
    <n v="1"/>
    <s v="Bachelors"/>
    <s v="Management"/>
    <s v="Yes"/>
    <n v="2"/>
    <x v="3"/>
    <s v="North America"/>
    <n v="44"/>
    <s v="Middle Age 31-54"/>
    <x v="0"/>
  </r>
  <r>
    <n v="11641"/>
    <x v="0"/>
    <s v="Male"/>
    <n v="50000"/>
    <n v="1"/>
    <s v="Bachelors"/>
    <s v="Skilled Manual"/>
    <s v="Yes"/>
    <n v="0"/>
    <x v="0"/>
    <s v="North America"/>
    <n v="36"/>
    <s v="Middle Age 31-54"/>
    <x v="0"/>
  </r>
  <r>
    <n v="11935"/>
    <x v="1"/>
    <s v="Female"/>
    <n v="30000"/>
    <n v="0"/>
    <s v="Partial College"/>
    <s v="Skilled Manual"/>
    <s v="Yes"/>
    <n v="1"/>
    <x v="2"/>
    <s v="North America"/>
    <n v="28"/>
    <s v="Adolescent 0-30"/>
    <x v="0"/>
  </r>
  <r>
    <n v="13233"/>
    <x v="0"/>
    <s v="Male"/>
    <n v="60000"/>
    <n v="2"/>
    <s v="Partial College"/>
    <s v="Professional"/>
    <s v="Yes"/>
    <n v="1"/>
    <x v="4"/>
    <s v="North America"/>
    <n v="57"/>
    <s v="Old 55+"/>
    <x v="1"/>
  </r>
  <r>
    <n v="25909"/>
    <x v="0"/>
    <s v="Male"/>
    <n v="60000"/>
    <n v="0"/>
    <s v="Partial College"/>
    <s v="Skilled Manual"/>
    <s v="Yes"/>
    <n v="1"/>
    <x v="2"/>
    <s v="North America"/>
    <n v="27"/>
    <s v="Adolescent 0-30"/>
    <x v="1"/>
  </r>
  <r>
    <n v="14092"/>
    <x v="1"/>
    <s v="Male"/>
    <n v="30000"/>
    <n v="0"/>
    <s v="Partial High School"/>
    <s v="Clerical"/>
    <s v="Yes"/>
    <n v="2"/>
    <x v="2"/>
    <s v="North America"/>
    <n v="28"/>
    <s v="Adolescent 0-30"/>
    <x v="0"/>
  </r>
  <r>
    <n v="29143"/>
    <x v="1"/>
    <s v="Female"/>
    <n v="60000"/>
    <n v="1"/>
    <s v="Bachelors"/>
    <s v="Professional"/>
    <s v="No"/>
    <n v="1"/>
    <x v="0"/>
    <s v="North America"/>
    <n v="44"/>
    <s v="Middle Age 31-54"/>
    <x v="1"/>
  </r>
  <r>
    <n v="24941"/>
    <x v="0"/>
    <s v="Male"/>
    <n v="60000"/>
    <n v="3"/>
    <s v="Bachelors"/>
    <s v="Management"/>
    <s v="Yes"/>
    <n v="2"/>
    <x v="4"/>
    <s v="North America"/>
    <n v="66"/>
    <s v="Old 55+"/>
    <x v="0"/>
  </r>
  <r>
    <n v="24637"/>
    <x v="0"/>
    <s v="Male"/>
    <n v="40000"/>
    <n v="4"/>
    <s v="High School"/>
    <s v="Professional"/>
    <s v="Yes"/>
    <n v="2"/>
    <x v="4"/>
    <s v="North America"/>
    <n v="64"/>
    <s v="Old 55+"/>
    <x v="0"/>
  </r>
  <r>
    <n v="23893"/>
    <x v="0"/>
    <s v="Male"/>
    <n v="50000"/>
    <n v="3"/>
    <s v="Bachelors"/>
    <s v="Skilled Manual"/>
    <s v="Yes"/>
    <n v="3"/>
    <x v="4"/>
    <s v="North America"/>
    <n v="41"/>
    <s v="Middle Age 31-54"/>
    <x v="0"/>
  </r>
  <r>
    <n v="13907"/>
    <x v="1"/>
    <s v="Female"/>
    <n v="80000"/>
    <n v="3"/>
    <s v="Bachelors"/>
    <s v="Skilled Manual"/>
    <s v="Yes"/>
    <n v="1"/>
    <x v="0"/>
    <s v="North America"/>
    <n v="41"/>
    <s v="Middle Age 31-54"/>
    <x v="1"/>
  </r>
  <r>
    <n v="14900"/>
    <x v="0"/>
    <s v="Female"/>
    <n v="40000"/>
    <n v="1"/>
    <s v="Partial College"/>
    <s v="Clerical"/>
    <s v="Yes"/>
    <n v="1"/>
    <x v="3"/>
    <s v="North America"/>
    <n v="49"/>
    <s v="Middle Age 31-54"/>
    <x v="1"/>
  </r>
  <r>
    <n v="11262"/>
    <x v="0"/>
    <s v="Female"/>
    <n v="80000"/>
    <n v="4"/>
    <s v="Bachelors"/>
    <s v="Management"/>
    <s v="Yes"/>
    <n v="0"/>
    <x v="0"/>
    <s v="North America"/>
    <n v="42"/>
    <s v="Middle Age 31-54"/>
    <x v="0"/>
  </r>
  <r>
    <n v="22294"/>
    <x v="1"/>
    <s v="Female"/>
    <n v="70000"/>
    <n v="0"/>
    <s v="Bachelors"/>
    <s v="Professional"/>
    <s v="No"/>
    <n v="1"/>
    <x v="1"/>
    <s v="North America"/>
    <n v="37"/>
    <s v="Middle Age 31-54"/>
    <x v="1"/>
  </r>
  <r>
    <n v="12195"/>
    <x v="1"/>
    <s v="Female"/>
    <n v="70000"/>
    <n v="3"/>
    <s v="Graduate Degree"/>
    <s v="Management"/>
    <s v="Yes"/>
    <n v="2"/>
    <x v="3"/>
    <s v="North America"/>
    <n v="52"/>
    <s v="Middle Age 31-54"/>
    <x v="0"/>
  </r>
  <r>
    <n v="25375"/>
    <x v="0"/>
    <s v="Male"/>
    <n v="50000"/>
    <n v="1"/>
    <s v="Graduate Degree"/>
    <s v="Skilled Manual"/>
    <s v="Yes"/>
    <n v="0"/>
    <x v="3"/>
    <s v="North America"/>
    <n v="34"/>
    <s v="Middle Age 31-54"/>
    <x v="0"/>
  </r>
  <r>
    <n v="11143"/>
    <x v="0"/>
    <s v="Male"/>
    <n v="40000"/>
    <n v="0"/>
    <s v="High School"/>
    <s v="Skilled Manual"/>
    <s v="Yes"/>
    <n v="2"/>
    <x v="2"/>
    <s v="North America"/>
    <n v="29"/>
    <s v="Adolescent 0-30"/>
    <x v="0"/>
  </r>
  <r>
    <n v="25898"/>
    <x v="0"/>
    <s v="Female"/>
    <n v="70000"/>
    <n v="2"/>
    <s v="High School"/>
    <s v="Professional"/>
    <s v="Yes"/>
    <n v="2"/>
    <x v="1"/>
    <s v="North America"/>
    <n v="53"/>
    <s v="Middle Age 31-54"/>
    <x v="0"/>
  </r>
  <r>
    <n v="24397"/>
    <x v="1"/>
    <s v="Male"/>
    <n v="120000"/>
    <n v="2"/>
    <s v="Bachelors"/>
    <s v="Management"/>
    <s v="No"/>
    <n v="4"/>
    <x v="3"/>
    <s v="North America"/>
    <n v="40"/>
    <s v="Middle Age 31-54"/>
    <x v="0"/>
  </r>
  <r>
    <n v="19758"/>
    <x v="1"/>
    <s v="Male"/>
    <n v="60000"/>
    <n v="0"/>
    <s v="Partial College"/>
    <s v="Skilled Manual"/>
    <s v="No"/>
    <n v="2"/>
    <x v="3"/>
    <s v="North America"/>
    <n v="29"/>
    <s v="Adolescent 0-30"/>
    <x v="0"/>
  </r>
  <r>
    <n v="15529"/>
    <x v="0"/>
    <s v="Male"/>
    <n v="60000"/>
    <n v="4"/>
    <s v="Bachelors"/>
    <s v="Professional"/>
    <s v="Yes"/>
    <n v="2"/>
    <x v="1"/>
    <s v="North America"/>
    <n v="43"/>
    <s v="Middle Age 31-54"/>
    <x v="1"/>
  </r>
  <r>
    <n v="19884"/>
    <x v="0"/>
    <s v="Male"/>
    <n v="60000"/>
    <n v="2"/>
    <s v="High School"/>
    <s v="Professional"/>
    <s v="Yes"/>
    <n v="2"/>
    <x v="1"/>
    <s v="North America"/>
    <n v="55"/>
    <s v="Old 55+"/>
    <x v="1"/>
  </r>
  <r>
    <n v="18674"/>
    <x v="1"/>
    <s v="Female"/>
    <n v="80000"/>
    <n v="4"/>
    <s v="Graduate Degree"/>
    <s v="Skilled Manual"/>
    <s v="No"/>
    <n v="0"/>
    <x v="0"/>
    <s v="North America"/>
    <n v="48"/>
    <s v="Middle Age 31-54"/>
    <x v="0"/>
  </r>
  <r>
    <n v="13453"/>
    <x v="0"/>
    <s v="Female"/>
    <n v="130000"/>
    <n v="3"/>
    <s v="Bachelors"/>
    <s v="Management"/>
    <s v="Yes"/>
    <n v="3"/>
    <x v="0"/>
    <s v="North America"/>
    <n v="45"/>
    <s v="Middle Age 31-54"/>
    <x v="1"/>
  </r>
  <r>
    <n v="14063"/>
    <x v="1"/>
    <s v="Female"/>
    <n v="70000"/>
    <n v="0"/>
    <s v="Bachelors"/>
    <s v="Professional"/>
    <s v="No"/>
    <n v="1"/>
    <x v="0"/>
    <s v="Pacific"/>
    <n v="42"/>
    <s v="Middle Age 31-54"/>
    <x v="1"/>
  </r>
  <r>
    <n v="27393"/>
    <x v="0"/>
    <s v="Female"/>
    <n v="50000"/>
    <n v="4"/>
    <s v="Bachelors"/>
    <s v="Management"/>
    <s v="Yes"/>
    <n v="2"/>
    <x v="4"/>
    <s v="North America"/>
    <n v="63"/>
    <s v="Old 55+"/>
    <x v="0"/>
  </r>
  <r>
    <n v="14417"/>
    <x v="1"/>
    <s v="Male"/>
    <n v="60000"/>
    <n v="3"/>
    <s v="High School"/>
    <s v="Professional"/>
    <s v="Yes"/>
    <n v="2"/>
    <x v="4"/>
    <s v="North America"/>
    <n v="54"/>
    <s v="Middle Age 31-54"/>
    <x v="1"/>
  </r>
  <r>
    <n v="17533"/>
    <x v="0"/>
    <s v="Male"/>
    <n v="40000"/>
    <n v="3"/>
    <s v="Partial College"/>
    <s v="Professional"/>
    <s v="No"/>
    <n v="2"/>
    <x v="2"/>
    <s v="North America"/>
    <n v="73"/>
    <s v="Old 55+"/>
    <x v="1"/>
  </r>
  <r>
    <n v="18580"/>
    <x v="0"/>
    <s v="Female"/>
    <n v="60000"/>
    <n v="2"/>
    <s v="Graduate Degree"/>
    <s v="Professional"/>
    <s v="Yes"/>
    <n v="0"/>
    <x v="1"/>
    <s v="North America"/>
    <n v="40"/>
    <s v="Middle Age 31-54"/>
    <x v="1"/>
  </r>
  <r>
    <n v="17025"/>
    <x v="1"/>
    <s v="Male"/>
    <n v="50000"/>
    <n v="0"/>
    <s v="Partial College"/>
    <s v="Skilled Manual"/>
    <s v="No"/>
    <n v="1"/>
    <x v="1"/>
    <s v="North America"/>
    <n v="39"/>
    <s v="Middle Age 31-54"/>
    <x v="1"/>
  </r>
  <r>
    <n v="25293"/>
    <x v="0"/>
    <s v="Male"/>
    <n v="80000"/>
    <n v="4"/>
    <s v="Bachelors"/>
    <s v="Management"/>
    <s v="Yes"/>
    <n v="0"/>
    <x v="3"/>
    <s v="North America"/>
    <n v="42"/>
    <s v="Middle Age 31-54"/>
    <x v="0"/>
  </r>
  <r>
    <n v="24725"/>
    <x v="0"/>
    <s v="Female"/>
    <n v="40000"/>
    <n v="3"/>
    <s v="Partial College"/>
    <s v="Clerical"/>
    <s v="Yes"/>
    <n v="0"/>
    <x v="3"/>
    <s v="North America"/>
    <n v="31"/>
    <s v="Middle Age 31-54"/>
    <x v="0"/>
  </r>
  <r>
    <n v="23200"/>
    <x v="0"/>
    <s v="Female"/>
    <n v="50000"/>
    <n v="3"/>
    <s v="Bachelors"/>
    <s v="Skilled Manual"/>
    <s v="Yes"/>
    <n v="2"/>
    <x v="0"/>
    <s v="North America"/>
    <n v="41"/>
    <s v="Middle Age 31-54"/>
    <x v="0"/>
  </r>
  <r>
    <n v="15895"/>
    <x v="1"/>
    <s v="Female"/>
    <n v="60000"/>
    <n v="2"/>
    <s v="Bachelors"/>
    <s v="Management"/>
    <s v="Yes"/>
    <n v="0"/>
    <x v="4"/>
    <s v="North America"/>
    <n v="58"/>
    <s v="Old 55+"/>
    <x v="0"/>
  </r>
  <r>
    <n v="18577"/>
    <x v="0"/>
    <s v="Female"/>
    <n v="60000"/>
    <n v="0"/>
    <s v="Graduate Degree"/>
    <s v="Professional"/>
    <s v="Yes"/>
    <n v="0"/>
    <x v="0"/>
    <s v="North America"/>
    <n v="40"/>
    <s v="Middle Age 31-54"/>
    <x v="0"/>
  </r>
  <r>
    <n v="27218"/>
    <x v="0"/>
    <s v="Female"/>
    <n v="20000"/>
    <n v="2"/>
    <s v="Partial High School"/>
    <s v="Clerical"/>
    <s v="No"/>
    <n v="0"/>
    <x v="0"/>
    <s v="North America"/>
    <n v="48"/>
    <s v="Middle Age 31-54"/>
    <x v="0"/>
  </r>
  <r>
    <n v="18560"/>
    <x v="0"/>
    <s v="Female"/>
    <n v="70000"/>
    <n v="2"/>
    <s v="Graduate Degree"/>
    <s v="Professional"/>
    <s v="Yes"/>
    <n v="0"/>
    <x v="1"/>
    <s v="North America"/>
    <n v="34"/>
    <s v="Middle Age 31-54"/>
    <x v="1"/>
  </r>
  <r>
    <n v="25006"/>
    <x v="1"/>
    <s v="Female"/>
    <n v="30000"/>
    <n v="0"/>
    <s v="Partial College"/>
    <s v="Skilled Manual"/>
    <s v="Yes"/>
    <n v="1"/>
    <x v="2"/>
    <s v="North America"/>
    <n v="28"/>
    <s v="Adolescent 0-30"/>
    <x v="0"/>
  </r>
  <r>
    <n v="17369"/>
    <x v="1"/>
    <s v="Male"/>
    <n v="30000"/>
    <n v="0"/>
    <s v="Partial College"/>
    <s v="Skilled Manual"/>
    <s v="Yes"/>
    <n v="1"/>
    <x v="2"/>
    <s v="North America"/>
    <n v="27"/>
    <s v="Adolescent 0-30"/>
    <x v="0"/>
  </r>
  <r>
    <n v="14495"/>
    <x v="0"/>
    <s v="Male"/>
    <n v="40000"/>
    <n v="3"/>
    <s v="Partial College"/>
    <s v="Professional"/>
    <s v="No"/>
    <n v="2"/>
    <x v="2"/>
    <s v="North America"/>
    <n v="54"/>
    <s v="Middle Age 31-54"/>
    <x v="1"/>
  </r>
  <r>
    <n v="18847"/>
    <x v="0"/>
    <s v="Female"/>
    <n v="60000"/>
    <n v="2"/>
    <s v="Graduate Degree"/>
    <s v="Management"/>
    <s v="Yes"/>
    <n v="2"/>
    <x v="2"/>
    <s v="North America"/>
    <n v="70"/>
    <s v="Old 55+"/>
    <x v="0"/>
  </r>
  <r>
    <n v="14754"/>
    <x v="0"/>
    <s v="Male"/>
    <n v="40000"/>
    <n v="1"/>
    <s v="Partial College"/>
    <s v="Clerical"/>
    <s v="Yes"/>
    <n v="1"/>
    <x v="3"/>
    <s v="North America"/>
    <n v="48"/>
    <s v="Middle Age 31-54"/>
    <x v="1"/>
  </r>
  <r>
    <n v="23378"/>
    <x v="0"/>
    <s v="Male"/>
    <n v="70000"/>
    <n v="1"/>
    <s v="Partial College"/>
    <s v="Skilled Manual"/>
    <s v="Yes"/>
    <n v="1"/>
    <x v="1"/>
    <s v="North America"/>
    <n v="44"/>
    <s v="Middle Age 31-54"/>
    <x v="1"/>
  </r>
  <r>
    <n v="26452"/>
    <x v="1"/>
    <s v="Male"/>
    <n v="50000"/>
    <n v="3"/>
    <s v="Graduate Degree"/>
    <s v="Management"/>
    <s v="Yes"/>
    <n v="2"/>
    <x v="4"/>
    <s v="North America"/>
    <n v="69"/>
    <s v="Old 55+"/>
    <x v="0"/>
  </r>
  <r>
    <n v="20370"/>
    <x v="0"/>
    <s v="Male"/>
    <n v="70000"/>
    <n v="3"/>
    <s v="Partial High School"/>
    <s v="Skilled Manual"/>
    <s v="Yes"/>
    <n v="2"/>
    <x v="2"/>
    <s v="North America"/>
    <n v="52"/>
    <s v="Middle Age 31-54"/>
    <x v="0"/>
  </r>
  <r>
    <n v="20528"/>
    <x v="0"/>
    <s v="Male"/>
    <n v="40000"/>
    <n v="2"/>
    <s v="Partial High School"/>
    <s v="Skilled Manual"/>
    <s v="Yes"/>
    <n v="2"/>
    <x v="1"/>
    <s v="North America"/>
    <n v="55"/>
    <s v="Old 55+"/>
    <x v="0"/>
  </r>
  <r>
    <n v="23549"/>
    <x v="1"/>
    <s v="Male"/>
    <n v="30000"/>
    <n v="0"/>
    <s v="High School"/>
    <s v="Skilled Manual"/>
    <s v="Yes"/>
    <n v="2"/>
    <x v="2"/>
    <s v="North America"/>
    <n v="30"/>
    <s v="Adolescent 0-30"/>
    <x v="0"/>
  </r>
  <r>
    <n v="21751"/>
    <x v="0"/>
    <s v="Male"/>
    <n v="60000"/>
    <n v="3"/>
    <s v="Graduate Degree"/>
    <s v="Management"/>
    <s v="Yes"/>
    <n v="2"/>
    <x v="3"/>
    <s v="North America"/>
    <n v="63"/>
    <s v="Old 55+"/>
    <x v="0"/>
  </r>
  <r>
    <n v="21266"/>
    <x v="1"/>
    <s v="Female"/>
    <n v="80000"/>
    <n v="0"/>
    <s v="Bachelors"/>
    <s v="Management"/>
    <s v="Yes"/>
    <n v="1"/>
    <x v="3"/>
    <s v="North America"/>
    <n v="34"/>
    <s v="Middle Age 31-54"/>
    <x v="1"/>
  </r>
  <r>
    <n v="13388"/>
    <x v="1"/>
    <s v="Male"/>
    <n v="60000"/>
    <n v="2"/>
    <s v="Partial College"/>
    <s v="Professional"/>
    <s v="Yes"/>
    <n v="1"/>
    <x v="4"/>
    <s v="North America"/>
    <n v="56"/>
    <s v="Old 55+"/>
    <x v="0"/>
  </r>
  <r>
    <n v="18752"/>
    <x v="1"/>
    <s v="Female"/>
    <n v="40000"/>
    <n v="0"/>
    <s v="High School"/>
    <s v="Skilled Manual"/>
    <s v="Yes"/>
    <n v="1"/>
    <x v="2"/>
    <s v="North America"/>
    <n v="31"/>
    <s v="Middle Age 31-54"/>
    <x v="0"/>
  </r>
  <r>
    <n v="16917"/>
    <x v="0"/>
    <s v="Male"/>
    <n v="120000"/>
    <n v="1"/>
    <s v="Bachelors"/>
    <s v="Management"/>
    <s v="Yes"/>
    <n v="4"/>
    <x v="0"/>
    <s v="North America"/>
    <n v="38"/>
    <s v="Middle Age 31-54"/>
    <x v="0"/>
  </r>
  <r>
    <n v="15313"/>
    <x v="0"/>
    <s v="Male"/>
    <n v="60000"/>
    <n v="4"/>
    <s v="Bachelors"/>
    <s v="Management"/>
    <s v="Yes"/>
    <n v="2"/>
    <x v="1"/>
    <s v="North America"/>
    <n v="59"/>
    <s v="Old 55+"/>
    <x v="0"/>
  </r>
  <r>
    <n v="25329"/>
    <x v="1"/>
    <s v="Female"/>
    <n v="40000"/>
    <n v="3"/>
    <s v="Partial College"/>
    <s v="Clerical"/>
    <s v="No"/>
    <n v="2"/>
    <x v="0"/>
    <s v="North America"/>
    <n v="32"/>
    <s v="Middle Age 31-54"/>
    <x v="0"/>
  </r>
  <r>
    <n v="20380"/>
    <x v="0"/>
    <s v="Female"/>
    <n v="60000"/>
    <n v="3"/>
    <s v="Graduate Degree"/>
    <s v="Management"/>
    <s v="Yes"/>
    <n v="2"/>
    <x v="4"/>
    <s v="North America"/>
    <n v="69"/>
    <s v="Old 55+"/>
    <x v="0"/>
  </r>
  <r>
    <n v="23089"/>
    <x v="0"/>
    <s v="Male"/>
    <n v="40000"/>
    <n v="0"/>
    <s v="Partial College"/>
    <s v="Skilled Manual"/>
    <s v="Yes"/>
    <n v="1"/>
    <x v="2"/>
    <s v="North America"/>
    <n v="28"/>
    <s v="Adolescent 0-30"/>
    <x v="0"/>
  </r>
  <r>
    <n v="13749"/>
    <x v="0"/>
    <s v="Male"/>
    <n v="80000"/>
    <n v="4"/>
    <s v="Graduate Degree"/>
    <s v="Skilled Manual"/>
    <s v="Yes"/>
    <n v="0"/>
    <x v="3"/>
    <s v="North America"/>
    <n v="47"/>
    <s v="Middle Age 31-54"/>
    <x v="0"/>
  </r>
  <r>
    <n v="24943"/>
    <x v="0"/>
    <s v="Male"/>
    <n v="60000"/>
    <n v="3"/>
    <s v="Bachelors"/>
    <s v="Management"/>
    <s v="Yes"/>
    <n v="2"/>
    <x v="4"/>
    <s v="North America"/>
    <n v="66"/>
    <s v="Old 55+"/>
    <x v="0"/>
  </r>
  <r>
    <n v="28667"/>
    <x v="1"/>
    <s v="Male"/>
    <n v="70000"/>
    <n v="2"/>
    <s v="Bachelors"/>
    <s v="Skilled Manual"/>
    <s v="No"/>
    <n v="1"/>
    <x v="0"/>
    <s v="North America"/>
    <n v="37"/>
    <s v="Middle Age 31-54"/>
    <x v="1"/>
  </r>
  <r>
    <n v="15194"/>
    <x v="1"/>
    <s v="Male"/>
    <n v="120000"/>
    <n v="2"/>
    <s v="Bachelors"/>
    <s v="Management"/>
    <s v="No"/>
    <n v="3"/>
    <x v="0"/>
    <s v="North America"/>
    <n v="39"/>
    <s v="Middle Age 31-54"/>
    <x v="1"/>
  </r>
  <r>
    <n v="17436"/>
    <x v="0"/>
    <s v="Male"/>
    <n v="60000"/>
    <n v="2"/>
    <s v="High School"/>
    <s v="Professional"/>
    <s v="No"/>
    <n v="2"/>
    <x v="3"/>
    <s v="North America"/>
    <n v="51"/>
    <s v="Middle Age 31-54"/>
    <x v="0"/>
  </r>
  <r>
    <n v="18935"/>
    <x v="0"/>
    <s v="Female"/>
    <n v="130000"/>
    <n v="0"/>
    <s v="Graduate Degree"/>
    <s v="Management"/>
    <s v="Yes"/>
    <n v="3"/>
    <x v="3"/>
    <s v="North America"/>
    <n v="40"/>
    <s v="Middle Age 31-54"/>
    <x v="0"/>
  </r>
  <r>
    <n v="16871"/>
    <x v="0"/>
    <s v="Female"/>
    <n v="90000"/>
    <n v="2"/>
    <s v="High School"/>
    <s v="Professional"/>
    <s v="Yes"/>
    <n v="1"/>
    <x v="4"/>
    <s v="North America"/>
    <n v="51"/>
    <s v="Middle Age 31-54"/>
    <x v="1"/>
  </r>
  <r>
    <n v="12100"/>
    <x v="1"/>
    <s v="Male"/>
    <n v="60000"/>
    <n v="2"/>
    <s v="Bachelors"/>
    <s v="Management"/>
    <s v="Yes"/>
    <n v="0"/>
    <x v="4"/>
    <s v="North America"/>
    <n v="57"/>
    <s v="Old 55+"/>
    <x v="0"/>
  </r>
  <r>
    <n v="23158"/>
    <x v="0"/>
    <s v="Female"/>
    <n v="60000"/>
    <n v="1"/>
    <s v="Graduate Degree"/>
    <s v="Professional"/>
    <s v="No"/>
    <n v="0"/>
    <x v="0"/>
    <s v="North America"/>
    <n v="35"/>
    <s v="Middle Age 31-54"/>
    <x v="1"/>
  </r>
  <r>
    <n v="18545"/>
    <x v="0"/>
    <s v="Male"/>
    <n v="40000"/>
    <n v="4"/>
    <s v="High School"/>
    <s v="Professional"/>
    <s v="No"/>
    <n v="2"/>
    <x v="4"/>
    <s v="North America"/>
    <n v="61"/>
    <s v="Old 55+"/>
    <x v="1"/>
  </r>
  <r>
    <n v="18391"/>
    <x v="1"/>
    <s v="Female"/>
    <n v="80000"/>
    <n v="5"/>
    <s v="Partial College"/>
    <s v="Professional"/>
    <s v="Yes"/>
    <n v="2"/>
    <x v="2"/>
    <s v="North America"/>
    <n v="44"/>
    <s v="Middle Age 31-54"/>
    <x v="0"/>
  </r>
  <r>
    <n v="19812"/>
    <x v="1"/>
    <s v="Female"/>
    <n v="70000"/>
    <n v="2"/>
    <s v="Partial College"/>
    <s v="Professional"/>
    <s v="Yes"/>
    <n v="0"/>
    <x v="2"/>
    <s v="North America"/>
    <n v="49"/>
    <s v="Middle Age 31-54"/>
    <x v="1"/>
  </r>
  <r>
    <n v="27660"/>
    <x v="0"/>
    <s v="Male"/>
    <n v="80000"/>
    <n v="4"/>
    <s v="Graduate Degree"/>
    <s v="Management"/>
    <s v="Yes"/>
    <n v="2"/>
    <x v="2"/>
    <s v="North America"/>
    <n v="70"/>
    <s v="Old 55+"/>
    <x v="0"/>
  </r>
  <r>
    <n v="18058"/>
    <x v="1"/>
    <s v="Female"/>
    <n v="20000"/>
    <n v="3"/>
    <s v="High School"/>
    <s v="Skilled Manual"/>
    <s v="Yes"/>
    <n v="2"/>
    <x v="1"/>
    <s v="North America"/>
    <n v="78"/>
    <s v="Old 55+"/>
    <x v="0"/>
  </r>
  <r>
    <n v="20343"/>
    <x v="0"/>
    <s v="Female"/>
    <n v="90000"/>
    <n v="4"/>
    <s v="Partial College"/>
    <s v="Professional"/>
    <s v="Yes"/>
    <n v="1"/>
    <x v="3"/>
    <s v="North America"/>
    <n v="45"/>
    <s v="Middle Age 31-54"/>
    <x v="0"/>
  </r>
  <r>
    <n v="28997"/>
    <x v="1"/>
    <s v="Male"/>
    <n v="40000"/>
    <n v="2"/>
    <s v="High School"/>
    <s v="Professional"/>
    <s v="No"/>
    <n v="1"/>
    <x v="1"/>
    <s v="North America"/>
    <n v="58"/>
    <s v="Old 55+"/>
    <x v="1"/>
  </r>
  <r>
    <n v="24398"/>
    <x v="0"/>
    <s v="Male"/>
    <n v="130000"/>
    <n v="1"/>
    <s v="Graduate Degree"/>
    <s v="Management"/>
    <s v="Yes"/>
    <n v="4"/>
    <x v="0"/>
    <s v="North America"/>
    <n v="41"/>
    <s v="Middle Age 31-54"/>
    <x v="0"/>
  </r>
  <r>
    <n v="19002"/>
    <x v="0"/>
    <s v="Female"/>
    <n v="60000"/>
    <n v="2"/>
    <s v="Partial College"/>
    <s v="Professional"/>
    <s v="Yes"/>
    <n v="1"/>
    <x v="1"/>
    <s v="North America"/>
    <n v="57"/>
    <s v="Old 55+"/>
    <x v="1"/>
  </r>
  <r>
    <n v="28609"/>
    <x v="0"/>
    <s v="Male"/>
    <n v="30000"/>
    <n v="2"/>
    <s v="High School"/>
    <s v="Skilled Manual"/>
    <s v="No"/>
    <n v="2"/>
    <x v="0"/>
    <s v="North America"/>
    <n v="49"/>
    <s v="Middle Age 31-54"/>
    <x v="0"/>
  </r>
  <r>
    <n v="29231"/>
    <x v="1"/>
    <s v="Male"/>
    <n v="80000"/>
    <n v="4"/>
    <s v="Partial College"/>
    <s v="Professional"/>
    <s v="No"/>
    <n v="2"/>
    <x v="0"/>
    <s v="North America"/>
    <n v="43"/>
    <s v="Middle Age 31-54"/>
    <x v="0"/>
  </r>
  <r>
    <n v="18858"/>
    <x v="1"/>
    <s v="Male"/>
    <n v="60000"/>
    <n v="2"/>
    <s v="Partial High School"/>
    <s v="Skilled Manual"/>
    <s v="Yes"/>
    <n v="2"/>
    <x v="2"/>
    <s v="North America"/>
    <n v="52"/>
    <s v="Middle Age 31-54"/>
    <x v="1"/>
  </r>
  <r>
    <n v="20000"/>
    <x v="0"/>
    <s v="Male"/>
    <n v="60000"/>
    <n v="1"/>
    <s v="Graduate Degree"/>
    <s v="Professional"/>
    <s v="Yes"/>
    <n v="0"/>
    <x v="0"/>
    <s v="North America"/>
    <n v="35"/>
    <s v="Middle Age 31-54"/>
    <x v="1"/>
  </r>
  <r>
    <n v="25261"/>
    <x v="0"/>
    <s v="Male"/>
    <n v="40000"/>
    <n v="0"/>
    <s v="High School"/>
    <s v="Skilled Manual"/>
    <s v="Yes"/>
    <n v="2"/>
    <x v="2"/>
    <s v="North America"/>
    <n v="27"/>
    <s v="Adolescent 0-30"/>
    <x v="0"/>
  </r>
  <r>
    <n v="17458"/>
    <x v="1"/>
    <s v="Male"/>
    <n v="70000"/>
    <n v="3"/>
    <s v="High School"/>
    <s v="Professional"/>
    <s v="Yes"/>
    <n v="0"/>
    <x v="2"/>
    <s v="North America"/>
    <n v="52"/>
    <s v="Middle Age 31-54"/>
    <x v="1"/>
  </r>
  <r>
    <n v="11644"/>
    <x v="1"/>
    <s v="Male"/>
    <n v="40000"/>
    <n v="2"/>
    <s v="Bachelors"/>
    <s v="Skilled Manual"/>
    <s v="Yes"/>
    <n v="0"/>
    <x v="1"/>
    <s v="North America"/>
    <n v="36"/>
    <s v="Middle Age 31-54"/>
    <x v="0"/>
  </r>
  <r>
    <n v="16145"/>
    <x v="1"/>
    <s v="Female"/>
    <n v="70000"/>
    <n v="5"/>
    <s v="Graduate Degree"/>
    <s v="Professional"/>
    <s v="Yes"/>
    <n v="3"/>
    <x v="4"/>
    <s v="North America"/>
    <n v="46"/>
    <s v="Middle Age 31-54"/>
    <x v="1"/>
  </r>
  <r>
    <n v="16890"/>
    <x v="0"/>
    <s v="Male"/>
    <n v="60000"/>
    <n v="3"/>
    <s v="Partial High School"/>
    <s v="Skilled Manual"/>
    <s v="Yes"/>
    <n v="2"/>
    <x v="2"/>
    <s v="North America"/>
    <n v="52"/>
    <s v="Middle Age 31-54"/>
    <x v="1"/>
  </r>
  <r>
    <n v="25983"/>
    <x v="0"/>
    <s v="Male"/>
    <n v="70000"/>
    <n v="0"/>
    <s v="Bachelors"/>
    <s v="Professional"/>
    <s v="No"/>
    <n v="1"/>
    <x v="0"/>
    <s v="North America"/>
    <n v="43"/>
    <s v="Middle Age 31-54"/>
    <x v="0"/>
  </r>
  <r>
    <n v="14633"/>
    <x v="0"/>
    <s v="Male"/>
    <n v="60000"/>
    <n v="1"/>
    <s v="Partial College"/>
    <s v="Skilled Manual"/>
    <s v="Yes"/>
    <n v="1"/>
    <x v="1"/>
    <s v="North America"/>
    <n v="44"/>
    <s v="Middle Age 31-54"/>
    <x v="0"/>
  </r>
  <r>
    <n v="22994"/>
    <x v="0"/>
    <s v="Female"/>
    <n v="80000"/>
    <n v="0"/>
    <s v="Bachelors"/>
    <s v="Management"/>
    <s v="Yes"/>
    <n v="1"/>
    <x v="3"/>
    <s v="North America"/>
    <n v="34"/>
    <s v="Middle Age 31-54"/>
    <x v="1"/>
  </r>
  <r>
    <n v="22983"/>
    <x v="1"/>
    <s v="Female"/>
    <n v="30000"/>
    <n v="0"/>
    <s v="Partial High School"/>
    <s v="Clerical"/>
    <s v="Yes"/>
    <n v="2"/>
    <x v="2"/>
    <s v="North America"/>
    <n v="27"/>
    <s v="Adolescent 0-30"/>
    <x v="0"/>
  </r>
  <r>
    <n v="25184"/>
    <x v="1"/>
    <s v="Male"/>
    <n v="110000"/>
    <n v="1"/>
    <s v="Partial College"/>
    <s v="Professional"/>
    <s v="Yes"/>
    <n v="4"/>
    <x v="2"/>
    <s v="North America"/>
    <n v="45"/>
    <s v="Middle Age 31-54"/>
    <x v="1"/>
  </r>
  <r>
    <n v="14469"/>
    <x v="0"/>
    <s v="Female"/>
    <n v="100000"/>
    <n v="3"/>
    <s v="Partial College"/>
    <s v="Professional"/>
    <s v="Yes"/>
    <n v="4"/>
    <x v="3"/>
    <s v="North America"/>
    <n v="45"/>
    <s v="Middle Age 31-54"/>
    <x v="0"/>
  </r>
  <r>
    <n v="11538"/>
    <x v="1"/>
    <s v="Female"/>
    <n v="60000"/>
    <n v="4"/>
    <s v="Graduate Degree"/>
    <s v="Skilled Manual"/>
    <s v="No"/>
    <n v="0"/>
    <x v="0"/>
    <s v="North America"/>
    <n v="47"/>
    <s v="Middle Age 31-54"/>
    <x v="1"/>
  </r>
  <r>
    <n v="16245"/>
    <x v="1"/>
    <s v="Female"/>
    <n v="80000"/>
    <n v="4"/>
    <s v="Graduate Degree"/>
    <s v="Skilled Manual"/>
    <s v="Yes"/>
    <n v="0"/>
    <x v="3"/>
    <s v="North America"/>
    <n v="47"/>
    <s v="Middle Age 31-54"/>
    <x v="0"/>
  </r>
  <r>
    <n v="17858"/>
    <x v="0"/>
    <s v="Male"/>
    <n v="40000"/>
    <n v="4"/>
    <s v="High School"/>
    <s v="Skilled Manual"/>
    <s v="Yes"/>
    <n v="2"/>
    <x v="1"/>
    <s v="North America"/>
    <n v="44"/>
    <s v="Middle Age 31-54"/>
    <x v="1"/>
  </r>
  <r>
    <n v="25347"/>
    <x v="1"/>
    <s v="Female"/>
    <n v="20000"/>
    <n v="3"/>
    <s v="Partial High School"/>
    <s v="Clerical"/>
    <s v="No"/>
    <n v="2"/>
    <x v="0"/>
    <s v="North America"/>
    <n v="49"/>
    <s v="Middle Age 31-54"/>
    <x v="0"/>
  </r>
  <r>
    <n v="15814"/>
    <x v="1"/>
    <s v="Female"/>
    <n v="40000"/>
    <n v="0"/>
    <s v="High School"/>
    <s v="Skilled Manual"/>
    <s v="Yes"/>
    <n v="1"/>
    <x v="2"/>
    <s v="North America"/>
    <n v="30"/>
    <s v="Adolescent 0-30"/>
    <x v="0"/>
  </r>
  <r>
    <n v="11259"/>
    <x v="0"/>
    <s v="Female"/>
    <n v="100000"/>
    <n v="4"/>
    <s v="Partial College"/>
    <s v="Professional"/>
    <s v="Yes"/>
    <n v="4"/>
    <x v="1"/>
    <s v="North America"/>
    <n v="41"/>
    <s v="Middle Age 31-54"/>
    <x v="1"/>
  </r>
  <r>
    <n v="11200"/>
    <x v="0"/>
    <s v="Male"/>
    <n v="70000"/>
    <n v="4"/>
    <s v="Bachelors"/>
    <s v="Management"/>
    <s v="Yes"/>
    <n v="1"/>
    <x v="3"/>
    <s v="North America"/>
    <n v="58"/>
    <s v="Old 55+"/>
    <x v="0"/>
  </r>
  <r>
    <n v="25101"/>
    <x v="0"/>
    <s v="Male"/>
    <n v="60000"/>
    <n v="5"/>
    <s v="Bachelors"/>
    <s v="Professional"/>
    <s v="Yes"/>
    <n v="1"/>
    <x v="1"/>
    <s v="North America"/>
    <n v="47"/>
    <s v="Middle Age 31-54"/>
    <x v="0"/>
  </r>
  <r>
    <n v="21801"/>
    <x v="0"/>
    <s v="Female"/>
    <n v="70000"/>
    <n v="4"/>
    <s v="Partial College"/>
    <s v="Professional"/>
    <s v="Yes"/>
    <n v="1"/>
    <x v="3"/>
    <s v="North America"/>
    <n v="55"/>
    <s v="Old 55+"/>
    <x v="0"/>
  </r>
  <r>
    <n v="25943"/>
    <x v="1"/>
    <s v="Female"/>
    <n v="70000"/>
    <n v="0"/>
    <s v="Partial College"/>
    <s v="Skilled Manual"/>
    <s v="No"/>
    <n v="2"/>
    <x v="0"/>
    <s v="North America"/>
    <n v="27"/>
    <s v="Adolescent 0-30"/>
    <x v="1"/>
  </r>
  <r>
    <n v="22127"/>
    <x v="0"/>
    <s v="Male"/>
    <n v="60000"/>
    <n v="3"/>
    <s v="Graduate Degree"/>
    <s v="Management"/>
    <s v="Yes"/>
    <n v="2"/>
    <x v="3"/>
    <s v="North America"/>
    <n v="67"/>
    <s v="Old 55+"/>
    <x v="0"/>
  </r>
  <r>
    <n v="20414"/>
    <x v="0"/>
    <s v="Female"/>
    <n v="60000"/>
    <n v="0"/>
    <s v="Partial College"/>
    <s v="Skilled Manual"/>
    <s v="Yes"/>
    <n v="2"/>
    <x v="2"/>
    <s v="North America"/>
    <n v="29"/>
    <s v="Adolescent 0-30"/>
    <x v="0"/>
  </r>
  <r>
    <n v="23672"/>
    <x v="0"/>
    <s v="Female"/>
    <n v="60000"/>
    <n v="3"/>
    <s v="Graduate Degree"/>
    <s v="Management"/>
    <s v="Yes"/>
    <n v="2"/>
    <x v="3"/>
    <s v="North America"/>
    <n v="67"/>
    <s v="Old 55+"/>
    <x v="0"/>
  </r>
  <r>
    <n v="29255"/>
    <x v="1"/>
    <s v="Male"/>
    <n v="80000"/>
    <n v="3"/>
    <s v="Partial College"/>
    <s v="Professional"/>
    <s v="No"/>
    <n v="1"/>
    <x v="3"/>
    <s v="North America"/>
    <n v="51"/>
    <s v="Middle Age 31-54"/>
    <x v="1"/>
  </r>
  <r>
    <n v="28815"/>
    <x v="0"/>
    <s v="Female"/>
    <n v="50000"/>
    <n v="1"/>
    <s v="Graduate Degree"/>
    <s v="Skilled Manual"/>
    <s v="Yes"/>
    <n v="0"/>
    <x v="0"/>
    <s v="North America"/>
    <n v="35"/>
    <s v="Middle Age 31-54"/>
    <x v="0"/>
  </r>
  <r>
    <n v="27753"/>
    <x v="0"/>
    <s v="Male"/>
    <n v="40000"/>
    <n v="0"/>
    <s v="High School"/>
    <s v="Skilled Manual"/>
    <s v="No"/>
    <n v="2"/>
    <x v="3"/>
    <s v="North America"/>
    <n v="30"/>
    <s v="Adolescent 0-30"/>
    <x v="0"/>
  </r>
  <r>
    <n v="27643"/>
    <x v="1"/>
    <s v="Male"/>
    <n v="70000"/>
    <n v="5"/>
    <s v="Partial College"/>
    <s v="Professional"/>
    <s v="Yes"/>
    <n v="3"/>
    <x v="1"/>
    <s v="North America"/>
    <n v="44"/>
    <s v="Middle Age 31-54"/>
    <x v="0"/>
  </r>
  <r>
    <n v="13754"/>
    <x v="1"/>
    <s v="Female"/>
    <n v="80000"/>
    <n v="4"/>
    <s v="Graduate Degree"/>
    <s v="Skilled Manual"/>
    <s v="Yes"/>
    <n v="0"/>
    <x v="3"/>
    <s v="North America"/>
    <n v="48"/>
    <s v="Middle Age 31-54"/>
    <x v="0"/>
  </r>
  <r>
    <n v="22088"/>
    <x v="0"/>
    <s v="Female"/>
    <n v="130000"/>
    <n v="1"/>
    <s v="Bachelors"/>
    <s v="Management"/>
    <s v="Yes"/>
    <n v="2"/>
    <x v="0"/>
    <s v="North America"/>
    <n v="45"/>
    <s v="Middle Age 31-54"/>
    <x v="1"/>
  </r>
  <r>
    <n v="27388"/>
    <x v="0"/>
    <s v="Male"/>
    <n v="60000"/>
    <n v="3"/>
    <s v="Bachelors"/>
    <s v="Management"/>
    <s v="No"/>
    <n v="2"/>
    <x v="3"/>
    <s v="North America"/>
    <n v="66"/>
    <s v="Old 55+"/>
    <x v="0"/>
  </r>
  <r>
    <n v="24745"/>
    <x v="1"/>
    <s v="Female"/>
    <n v="30000"/>
    <n v="2"/>
    <s v="High School"/>
    <s v="Skilled Manual"/>
    <s v="No"/>
    <n v="2"/>
    <x v="0"/>
    <s v="North America"/>
    <n v="49"/>
    <s v="Middle Age 31-54"/>
    <x v="0"/>
  </r>
  <r>
    <n v="29237"/>
    <x v="1"/>
    <s v="Female"/>
    <n v="120000"/>
    <n v="4"/>
    <s v="Partial College"/>
    <s v="Professional"/>
    <s v="Yes"/>
    <n v="3"/>
    <x v="2"/>
    <s v="North America"/>
    <n v="43"/>
    <s v="Middle Age 31-54"/>
    <x v="1"/>
  </r>
  <r>
    <n v="15272"/>
    <x v="1"/>
    <s v="Male"/>
    <n v="40000"/>
    <n v="0"/>
    <s v="High School"/>
    <s v="Skilled Manual"/>
    <s v="No"/>
    <n v="2"/>
    <x v="3"/>
    <s v="North America"/>
    <n v="30"/>
    <s v="Adolescent 0-30"/>
    <x v="0"/>
  </r>
  <r>
    <n v="18949"/>
    <x v="1"/>
    <s v="Male"/>
    <n v="70000"/>
    <n v="0"/>
    <s v="Graduate Degree"/>
    <s v="Management"/>
    <s v="Yes"/>
    <n v="2"/>
    <x v="2"/>
    <s v="North America"/>
    <n v="74"/>
    <s v="Old 55+"/>
    <x v="1"/>
  </r>
  <r>
    <n v="14507"/>
    <x v="0"/>
    <s v="Male"/>
    <n v="100000"/>
    <n v="2"/>
    <s v="Graduate Degree"/>
    <s v="Management"/>
    <s v="Yes"/>
    <n v="3"/>
    <x v="3"/>
    <s v="North America"/>
    <n v="65"/>
    <s v="Old 55+"/>
    <x v="0"/>
  </r>
  <r>
    <n v="25886"/>
    <x v="0"/>
    <s v="Female"/>
    <n v="60000"/>
    <n v="2"/>
    <s v="Partial College"/>
    <s v="Professional"/>
    <s v="Yes"/>
    <n v="2"/>
    <x v="1"/>
    <s v="North America"/>
    <n v="56"/>
    <s v="Old 55+"/>
    <x v="1"/>
  </r>
  <r>
    <n v="21441"/>
    <x v="0"/>
    <s v="Male"/>
    <n v="50000"/>
    <n v="4"/>
    <s v="Bachelors"/>
    <s v="Management"/>
    <s v="Yes"/>
    <n v="2"/>
    <x v="4"/>
    <s v="North America"/>
    <n v="64"/>
    <s v="Old 55+"/>
    <x v="0"/>
  </r>
  <r>
    <n v="21741"/>
    <x v="0"/>
    <s v="Female"/>
    <n v="70000"/>
    <n v="3"/>
    <s v="Partial College"/>
    <s v="Professional"/>
    <s v="Yes"/>
    <n v="2"/>
    <x v="2"/>
    <s v="North America"/>
    <n v="50"/>
    <s v="Middle Age 31-54"/>
    <x v="1"/>
  </r>
  <r>
    <n v="14572"/>
    <x v="0"/>
    <s v="Female"/>
    <n v="70000"/>
    <n v="3"/>
    <s v="Graduate Degree"/>
    <s v="Professional"/>
    <s v="Yes"/>
    <n v="0"/>
    <x v="1"/>
    <s v="North America"/>
    <n v="35"/>
    <s v="Middle Age 31-54"/>
    <x v="1"/>
  </r>
  <r>
    <n v="23368"/>
    <x v="0"/>
    <s v="Female"/>
    <n v="60000"/>
    <n v="5"/>
    <s v="Bachelors"/>
    <s v="Skilled Manual"/>
    <s v="Yes"/>
    <n v="3"/>
    <x v="4"/>
    <s v="North America"/>
    <n v="41"/>
    <s v="Middle Age 31-54"/>
    <x v="0"/>
  </r>
  <r>
    <n v="16217"/>
    <x v="1"/>
    <s v="Female"/>
    <n v="60000"/>
    <n v="0"/>
    <s v="Graduate Degree"/>
    <s v="Skilled Manual"/>
    <s v="Yes"/>
    <n v="0"/>
    <x v="0"/>
    <s v="North America"/>
    <n v="39"/>
    <s v="Middle Age 31-54"/>
    <x v="0"/>
  </r>
  <r>
    <n v="16247"/>
    <x v="1"/>
    <s v="Female"/>
    <n v="60000"/>
    <n v="4"/>
    <s v="Graduate Degree"/>
    <s v="Skilled Manual"/>
    <s v="No"/>
    <n v="0"/>
    <x v="3"/>
    <s v="North America"/>
    <n v="47"/>
    <s v="Middle Age 31-54"/>
    <x v="0"/>
  </r>
  <r>
    <n v="22010"/>
    <x v="1"/>
    <s v="Male"/>
    <n v="40000"/>
    <n v="0"/>
    <s v="High School"/>
    <s v="Skilled Manual"/>
    <s v="Yes"/>
    <n v="2"/>
    <x v="2"/>
    <s v="North America"/>
    <n v="31"/>
    <s v="Middle Age 31-54"/>
    <x v="0"/>
  </r>
  <r>
    <n v="25872"/>
    <x v="1"/>
    <s v="Female"/>
    <n v="70000"/>
    <n v="2"/>
    <s v="Bachelors"/>
    <s v="Management"/>
    <s v="No"/>
    <n v="1"/>
    <x v="1"/>
    <s v="North America"/>
    <n v="58"/>
    <s v="Old 55+"/>
    <x v="1"/>
  </r>
  <r>
    <n v="19164"/>
    <x v="1"/>
    <s v="Female"/>
    <n v="70000"/>
    <n v="0"/>
    <s v="Bachelors"/>
    <s v="Professional"/>
    <s v="No"/>
    <n v="1"/>
    <x v="1"/>
    <s v="North America"/>
    <n v="38"/>
    <s v="Middle Age 31-54"/>
    <x v="1"/>
  </r>
  <r>
    <n v="18435"/>
    <x v="1"/>
    <s v="Female"/>
    <n v="70000"/>
    <n v="5"/>
    <s v="Graduate Degree"/>
    <s v="Management"/>
    <s v="Yes"/>
    <n v="2"/>
    <x v="4"/>
    <s v="North America"/>
    <n v="67"/>
    <s v="Old 55+"/>
    <x v="1"/>
  </r>
  <r>
    <n v="14284"/>
    <x v="1"/>
    <s v="Male"/>
    <n v="60000"/>
    <n v="0"/>
    <s v="Partial College"/>
    <s v="Professional"/>
    <s v="No"/>
    <n v="2"/>
    <x v="3"/>
    <s v="North America"/>
    <n v="32"/>
    <s v="Middle Age 31-54"/>
    <x v="1"/>
  </r>
  <r>
    <n v="11287"/>
    <x v="0"/>
    <s v="Male"/>
    <n v="70000"/>
    <n v="5"/>
    <s v="Partial College"/>
    <s v="Professional"/>
    <s v="No"/>
    <n v="3"/>
    <x v="2"/>
    <s v="North America"/>
    <n v="45"/>
    <s v="Middle Age 31-54"/>
    <x v="0"/>
  </r>
  <r>
    <n v="13066"/>
    <x v="1"/>
    <s v="Male"/>
    <n v="30000"/>
    <n v="0"/>
    <s v="High School"/>
    <s v="Skilled Manual"/>
    <s v="No"/>
    <n v="2"/>
    <x v="3"/>
    <s v="North America"/>
    <n v="31"/>
    <s v="Middle Age 31-54"/>
    <x v="1"/>
  </r>
  <r>
    <n v="29106"/>
    <x v="1"/>
    <s v="Male"/>
    <n v="40000"/>
    <n v="0"/>
    <s v="High School"/>
    <s v="Skilled Manual"/>
    <s v="No"/>
    <n v="2"/>
    <x v="3"/>
    <s v="North America"/>
    <n v="31"/>
    <s v="Middle Age 31-54"/>
    <x v="1"/>
  </r>
  <r>
    <n v="26236"/>
    <x v="0"/>
    <s v="Female"/>
    <n v="40000"/>
    <n v="3"/>
    <s v="Partial College"/>
    <s v="Clerical"/>
    <s v="Yes"/>
    <n v="1"/>
    <x v="0"/>
    <s v="North America"/>
    <n v="31"/>
    <s v="Middle Age 31-54"/>
    <x v="0"/>
  </r>
  <r>
    <n v="17531"/>
    <x v="0"/>
    <s v="Male"/>
    <n v="60000"/>
    <n v="2"/>
    <s v="High School"/>
    <s v="Professional"/>
    <s v="No"/>
    <n v="2"/>
    <x v="2"/>
    <s v="North America"/>
    <n v="50"/>
    <s v="Middle Age 31-54"/>
    <x v="0"/>
  </r>
  <r>
    <n v="12964"/>
    <x v="0"/>
    <s v="Male"/>
    <n v="70000"/>
    <n v="1"/>
    <s v="Partial College"/>
    <s v="Skilled Manual"/>
    <s v="Yes"/>
    <n v="1"/>
    <x v="0"/>
    <s v="North America"/>
    <n v="44"/>
    <s v="Middle Age 31-54"/>
    <x v="0"/>
  </r>
  <r>
    <n v="19133"/>
    <x v="1"/>
    <s v="Male"/>
    <n v="50000"/>
    <n v="2"/>
    <s v="Bachelors"/>
    <s v="Skilled Manual"/>
    <s v="Yes"/>
    <n v="1"/>
    <x v="1"/>
    <s v="North America"/>
    <n v="38"/>
    <s v="Middle Age 31-54"/>
    <x v="1"/>
  </r>
  <r>
    <n v="24643"/>
    <x v="1"/>
    <s v="Female"/>
    <n v="60000"/>
    <n v="4"/>
    <s v="Bachelors"/>
    <s v="Management"/>
    <s v="Yes"/>
    <n v="2"/>
    <x v="4"/>
    <s v="North America"/>
    <n v="63"/>
    <s v="Old 55+"/>
    <x v="0"/>
  </r>
  <r>
    <n v="21599"/>
    <x v="0"/>
    <s v="Female"/>
    <n v="60000"/>
    <n v="1"/>
    <s v="Graduate Degree"/>
    <s v="Professional"/>
    <s v="Yes"/>
    <n v="0"/>
    <x v="1"/>
    <s v="North America"/>
    <n v="36"/>
    <s v="Middle Age 31-54"/>
    <x v="1"/>
  </r>
  <r>
    <n v="22976"/>
    <x v="1"/>
    <s v="Male"/>
    <n v="40000"/>
    <n v="0"/>
    <s v="High School"/>
    <s v="Skilled Manual"/>
    <s v="No"/>
    <n v="2"/>
    <x v="0"/>
    <s v="North America"/>
    <n v="28"/>
    <s v="Adolescent 0-30"/>
    <x v="1"/>
  </r>
  <r>
    <n v="27637"/>
    <x v="1"/>
    <s v="Female"/>
    <n v="100000"/>
    <n v="1"/>
    <s v="Partial College"/>
    <s v="Professional"/>
    <s v="No"/>
    <n v="3"/>
    <x v="3"/>
    <s v="North America"/>
    <n v="44"/>
    <s v="Middle Age 31-54"/>
    <x v="0"/>
  </r>
  <r>
    <n v="11890"/>
    <x v="0"/>
    <s v="Female"/>
    <n v="70000"/>
    <n v="5"/>
    <s v="Graduate Degree"/>
    <s v="Professional"/>
    <s v="Yes"/>
    <n v="1"/>
    <x v="0"/>
    <s v="North America"/>
    <n v="47"/>
    <s v="Middle Age 31-54"/>
    <x v="0"/>
  </r>
  <r>
    <n v="28580"/>
    <x v="0"/>
    <s v="Female"/>
    <n v="80000"/>
    <n v="0"/>
    <s v="Graduate Degree"/>
    <s v="Skilled Manual"/>
    <s v="Yes"/>
    <n v="0"/>
    <x v="3"/>
    <s v="North America"/>
    <n v="40"/>
    <s v="Middle Age 31-54"/>
    <x v="1"/>
  </r>
  <r>
    <n v="14443"/>
    <x v="0"/>
    <s v="Male"/>
    <n v="130000"/>
    <n v="1"/>
    <s v="Graduate Degree"/>
    <s v="Management"/>
    <s v="Yes"/>
    <n v="4"/>
    <x v="0"/>
    <s v="North America"/>
    <n v="40"/>
    <s v="Middle Age 31-54"/>
    <x v="0"/>
  </r>
  <r>
    <n v="17864"/>
    <x v="0"/>
    <s v="Female"/>
    <n v="60000"/>
    <n v="1"/>
    <s v="Partial College"/>
    <s v="Skilled Manual"/>
    <s v="Yes"/>
    <n v="1"/>
    <x v="1"/>
    <s v="North America"/>
    <n v="46"/>
    <s v="Middle Age 31-54"/>
    <x v="1"/>
  </r>
  <r>
    <n v="20505"/>
    <x v="0"/>
    <s v="Female"/>
    <n v="40000"/>
    <n v="5"/>
    <s v="High School"/>
    <s v="Professional"/>
    <s v="No"/>
    <n v="2"/>
    <x v="4"/>
    <s v="North America"/>
    <n v="61"/>
    <s v="Old 55+"/>
    <x v="0"/>
  </r>
  <r>
    <n v="14592"/>
    <x v="0"/>
    <s v="Female"/>
    <n v="60000"/>
    <n v="0"/>
    <s v="Graduate Degree"/>
    <s v="Professional"/>
    <s v="Yes"/>
    <n v="0"/>
    <x v="0"/>
    <s v="North America"/>
    <n v="40"/>
    <s v="Middle Age 31-54"/>
    <x v="0"/>
  </r>
  <r>
    <n v="22227"/>
    <x v="0"/>
    <s v="Female"/>
    <n v="60000"/>
    <n v="2"/>
    <s v="High School"/>
    <s v="Professional"/>
    <s v="Yes"/>
    <n v="2"/>
    <x v="2"/>
    <s v="North America"/>
    <n v="50"/>
    <s v="Middle Age 31-54"/>
    <x v="0"/>
  </r>
  <r>
    <n v="21471"/>
    <x v="0"/>
    <s v="Male"/>
    <n v="70000"/>
    <n v="2"/>
    <s v="Partial College"/>
    <s v="Professional"/>
    <s v="Yes"/>
    <n v="1"/>
    <x v="4"/>
    <s v="North America"/>
    <n v="59"/>
    <s v="Old 55+"/>
    <x v="0"/>
  </r>
  <r>
    <n v="22252"/>
    <x v="1"/>
    <s v="Female"/>
    <n v="60000"/>
    <n v="1"/>
    <s v="Graduate Degree"/>
    <s v="Professional"/>
    <s v="Yes"/>
    <n v="0"/>
    <x v="1"/>
    <s v="North America"/>
    <n v="36"/>
    <s v="Middle Age 31-54"/>
    <x v="1"/>
  </r>
  <r>
    <n v="21260"/>
    <x v="1"/>
    <s v="Female"/>
    <n v="40000"/>
    <n v="0"/>
    <s v="High School"/>
    <s v="Skilled Manual"/>
    <s v="Yes"/>
    <n v="2"/>
    <x v="2"/>
    <s v="North America"/>
    <n v="30"/>
    <s v="Adolescent 0-30"/>
    <x v="0"/>
  </r>
  <r>
    <n v="11817"/>
    <x v="1"/>
    <s v="Female"/>
    <n v="70000"/>
    <n v="4"/>
    <s v="Graduate Degree"/>
    <s v="Professional"/>
    <s v="Yes"/>
    <n v="0"/>
    <x v="1"/>
    <s v="North America"/>
    <n v="35"/>
    <s v="Middle Age 31-54"/>
    <x v="1"/>
  </r>
  <r>
    <n v="19223"/>
    <x v="0"/>
    <s v="Female"/>
    <n v="30000"/>
    <n v="2"/>
    <s v="High School"/>
    <s v="Skilled Manual"/>
    <s v="Yes"/>
    <n v="2"/>
    <x v="3"/>
    <s v="North America"/>
    <n v="48"/>
    <s v="Middle Age 31-54"/>
    <x v="0"/>
  </r>
  <r>
    <n v="18517"/>
    <x v="0"/>
    <s v="Male"/>
    <n v="100000"/>
    <n v="3"/>
    <s v="Bachelors"/>
    <s v="Management"/>
    <s v="Yes"/>
    <n v="4"/>
    <x v="0"/>
    <s v="North America"/>
    <n v="41"/>
    <s v="Middle Age 31-54"/>
    <x v="0"/>
  </r>
  <r>
    <n v="21717"/>
    <x v="0"/>
    <s v="Male"/>
    <n v="40000"/>
    <n v="2"/>
    <s v="Partial College"/>
    <s v="Clerical"/>
    <s v="Yes"/>
    <n v="1"/>
    <x v="0"/>
    <s v="North America"/>
    <n v="47"/>
    <s v="Middle Age 31-54"/>
    <x v="0"/>
  </r>
  <r>
    <n v="13760"/>
    <x v="0"/>
    <s v="Male"/>
    <n v="60000"/>
    <n v="4"/>
    <s v="Graduate Degree"/>
    <s v="Skilled Manual"/>
    <s v="No"/>
    <n v="0"/>
    <x v="0"/>
    <s v="North America"/>
    <n v="47"/>
    <s v="Middle Age 31-54"/>
    <x v="0"/>
  </r>
  <r>
    <n v="18145"/>
    <x v="0"/>
    <s v="Male"/>
    <n v="80000"/>
    <n v="5"/>
    <s v="Bachelors"/>
    <s v="Management"/>
    <s v="No"/>
    <n v="2"/>
    <x v="1"/>
    <s v="Europe"/>
    <n v="62"/>
    <s v="Old 55+"/>
    <x v="0"/>
  </r>
  <r>
    <n v="21770"/>
    <x v="0"/>
    <s v="Male"/>
    <n v="60000"/>
    <n v="4"/>
    <s v="Bachelors"/>
    <s v="Management"/>
    <s v="Yes"/>
    <n v="2"/>
    <x v="4"/>
    <s v="North America"/>
    <n v="60"/>
    <s v="Old 55+"/>
    <x v="0"/>
  </r>
  <r>
    <n v="11165"/>
    <x v="0"/>
    <s v="Female"/>
    <n v="60000"/>
    <n v="0"/>
    <s v="Partial College"/>
    <s v="Skilled Manual"/>
    <s v="No"/>
    <n v="1"/>
    <x v="3"/>
    <s v="North America"/>
    <n v="33"/>
    <s v="Middle Age 31-54"/>
    <x v="0"/>
  </r>
  <r>
    <n v="16377"/>
    <x v="1"/>
    <s v="Female"/>
    <n v="80000"/>
    <n v="4"/>
    <s v="Graduate Degree"/>
    <s v="Skilled Manual"/>
    <s v="No"/>
    <n v="0"/>
    <x v="0"/>
    <s v="North America"/>
    <n v="47"/>
    <s v="Middle Age 31-54"/>
    <x v="0"/>
  </r>
  <r>
    <n v="26248"/>
    <x v="0"/>
    <s v="Male"/>
    <n v="20000"/>
    <n v="3"/>
    <s v="Partial High School"/>
    <s v="Clerical"/>
    <s v="No"/>
    <n v="2"/>
    <x v="0"/>
    <s v="North America"/>
    <n v="52"/>
    <s v="Middle Age 31-54"/>
    <x v="0"/>
  </r>
  <r>
    <n v="23461"/>
    <x v="0"/>
    <s v="Female"/>
    <n v="90000"/>
    <n v="5"/>
    <s v="Partial College"/>
    <s v="Professional"/>
    <s v="Yes"/>
    <n v="3"/>
    <x v="1"/>
    <s v="North America"/>
    <n v="40"/>
    <s v="Middle Age 31-54"/>
    <x v="0"/>
  </r>
  <r>
    <n v="29133"/>
    <x v="1"/>
    <s v="Female"/>
    <n v="60000"/>
    <n v="4"/>
    <s v="Bachelors"/>
    <s v="Skilled Manual"/>
    <s v="No"/>
    <n v="2"/>
    <x v="0"/>
    <s v="North America"/>
    <n v="42"/>
    <s v="Middle Age 31-54"/>
    <x v="0"/>
  </r>
  <r>
    <n v="27673"/>
    <x v="1"/>
    <s v="Female"/>
    <n v="60000"/>
    <n v="3"/>
    <s v="Graduate Degree"/>
    <s v="Management"/>
    <s v="Yes"/>
    <n v="2"/>
    <x v="2"/>
    <s v="North America"/>
    <n v="53"/>
    <s v="Middle Age 31-54"/>
    <x v="1"/>
  </r>
  <r>
    <n v="12774"/>
    <x v="0"/>
    <s v="Female"/>
    <n v="40000"/>
    <n v="1"/>
    <s v="Partial College"/>
    <s v="Clerical"/>
    <s v="Yes"/>
    <n v="1"/>
    <x v="3"/>
    <s v="North America"/>
    <n v="51"/>
    <s v="Middle Age 31-54"/>
    <x v="1"/>
  </r>
  <r>
    <n v="18910"/>
    <x v="1"/>
    <s v="Male"/>
    <n v="30000"/>
    <n v="0"/>
    <s v="Partial College"/>
    <s v="Skilled Manual"/>
    <s v="Yes"/>
    <n v="2"/>
    <x v="2"/>
    <s v="North America"/>
    <n v="30"/>
    <s v="Adolescent 0-30"/>
    <x v="0"/>
  </r>
  <r>
    <n v="11699"/>
    <x v="1"/>
    <s v="Male"/>
    <n v="60000"/>
    <n v="0"/>
    <s v="Bachelors"/>
    <s v="Skilled Manual"/>
    <s v="No"/>
    <n v="2"/>
    <x v="0"/>
    <s v="North America"/>
    <n v="30"/>
    <s v="Adolescent 0-30"/>
    <x v="0"/>
  </r>
  <r>
    <n v="16725"/>
    <x v="0"/>
    <s v="Male"/>
    <n v="30000"/>
    <n v="0"/>
    <s v="High School"/>
    <s v="Skilled Manual"/>
    <s v="Yes"/>
    <n v="2"/>
    <x v="2"/>
    <s v="North America"/>
    <n v="26"/>
    <s v="Adolescent 0-30"/>
    <x v="0"/>
  </r>
  <r>
    <n v="28269"/>
    <x v="1"/>
    <s v="Female"/>
    <n v="130000"/>
    <n v="1"/>
    <s v="Bachelors"/>
    <s v="Management"/>
    <s v="No"/>
    <n v="1"/>
    <x v="1"/>
    <s v="North America"/>
    <n v="45"/>
    <s v="Middle Age 31-54"/>
    <x v="0"/>
  </r>
  <r>
    <n v="23144"/>
    <x v="0"/>
    <s v="Male"/>
    <n v="50000"/>
    <n v="1"/>
    <s v="Bachelors"/>
    <s v="Skilled Manual"/>
    <s v="Yes"/>
    <n v="0"/>
    <x v="0"/>
    <s v="North America"/>
    <n v="34"/>
    <s v="Middle Age 31-54"/>
    <x v="1"/>
  </r>
  <r>
    <n v="23376"/>
    <x v="0"/>
    <s v="Male"/>
    <n v="70000"/>
    <n v="1"/>
    <s v="Bachelors"/>
    <s v="Professional"/>
    <s v="Yes"/>
    <n v="1"/>
    <x v="1"/>
    <s v="North America"/>
    <n v="44"/>
    <s v="Middle Age 31-54"/>
    <x v="1"/>
  </r>
  <r>
    <n v="25970"/>
    <x v="1"/>
    <s v="Female"/>
    <n v="60000"/>
    <n v="4"/>
    <s v="Bachelors"/>
    <s v="Skilled Manual"/>
    <s v="No"/>
    <n v="2"/>
    <x v="0"/>
    <s v="North America"/>
    <n v="41"/>
    <s v="Middle Age 31-54"/>
    <x v="1"/>
  </r>
  <r>
    <n v="28068"/>
    <x v="1"/>
    <s v="Female"/>
    <n v="80000"/>
    <n v="3"/>
    <s v="Graduate Degree"/>
    <s v="Professional"/>
    <s v="No"/>
    <n v="0"/>
    <x v="0"/>
    <s v="North America"/>
    <n v="36"/>
    <s v="Middle Age 31-54"/>
    <x v="1"/>
  </r>
  <r>
    <n v="18390"/>
    <x v="0"/>
    <s v="Male"/>
    <n v="80000"/>
    <n v="5"/>
    <s v="Partial College"/>
    <s v="Professional"/>
    <s v="Yes"/>
    <n v="2"/>
    <x v="0"/>
    <s v="North America"/>
    <n v="44"/>
    <s v="Middle Age 31-54"/>
    <x v="0"/>
  </r>
  <r>
    <n v="29112"/>
    <x v="1"/>
    <s v="Male"/>
    <n v="60000"/>
    <n v="0"/>
    <s v="Partial College"/>
    <s v="Professional"/>
    <s v="No"/>
    <n v="2"/>
    <x v="3"/>
    <s v="North America"/>
    <n v="30"/>
    <s v="Adolescent 0-30"/>
    <x v="0"/>
  </r>
  <r>
    <n v="14090"/>
    <x v="0"/>
    <s v="Female"/>
    <n v="30000"/>
    <n v="0"/>
    <s v="Partial High School"/>
    <s v="Clerical"/>
    <s v="No"/>
    <n v="2"/>
    <x v="0"/>
    <s v="North America"/>
    <n v="28"/>
    <s v="Adolescent 0-30"/>
    <x v="0"/>
  </r>
  <r>
    <n v="27040"/>
    <x v="0"/>
    <s v="Male"/>
    <n v="20000"/>
    <n v="2"/>
    <s v="Partial High School"/>
    <s v="Clerical"/>
    <s v="Yes"/>
    <n v="2"/>
    <x v="3"/>
    <s v="North America"/>
    <n v="49"/>
    <s v="Middle Age 31-54"/>
    <x v="0"/>
  </r>
  <r>
    <n v="23479"/>
    <x v="1"/>
    <s v="Male"/>
    <n v="90000"/>
    <n v="0"/>
    <s v="Partial College"/>
    <s v="Professional"/>
    <s v="No"/>
    <n v="2"/>
    <x v="0"/>
    <s v="North America"/>
    <n v="43"/>
    <s v="Middle Age 31-54"/>
    <x v="1"/>
  </r>
  <r>
    <n v="16795"/>
    <x v="0"/>
    <s v="Female"/>
    <n v="70000"/>
    <n v="4"/>
    <s v="Bachelors"/>
    <s v="Management"/>
    <s v="Yes"/>
    <n v="1"/>
    <x v="3"/>
    <s v="North America"/>
    <n v="59"/>
    <s v="Old 55+"/>
    <x v="0"/>
  </r>
  <r>
    <n v="22014"/>
    <x v="1"/>
    <s v="Male"/>
    <n v="30000"/>
    <n v="0"/>
    <s v="High School"/>
    <s v="Skilled Manual"/>
    <s v="Yes"/>
    <n v="2"/>
    <x v="2"/>
    <s v="North America"/>
    <n v="26"/>
    <s v="Adolescent 0-30"/>
    <x v="0"/>
  </r>
  <r>
    <n v="13314"/>
    <x v="0"/>
    <s v="Male"/>
    <n v="120000"/>
    <n v="1"/>
    <s v="High School"/>
    <s v="Professional"/>
    <s v="Yes"/>
    <n v="4"/>
    <x v="2"/>
    <s v="North America"/>
    <n v="46"/>
    <s v="Middle Age 31-54"/>
    <x v="1"/>
  </r>
  <r>
    <n v="11619"/>
    <x v="1"/>
    <s v="Female"/>
    <n v="50000"/>
    <n v="0"/>
    <s v="Graduate Degree"/>
    <s v="Skilled Manual"/>
    <s v="Yes"/>
    <n v="0"/>
    <x v="3"/>
    <s v="North America"/>
    <n v="33"/>
    <s v="Middle Age 31-54"/>
    <x v="0"/>
  </r>
  <r>
    <n v="29132"/>
    <x v="1"/>
    <s v="Female"/>
    <n v="40000"/>
    <n v="0"/>
    <s v="Bachelors"/>
    <s v="Professional"/>
    <s v="Yes"/>
    <n v="1"/>
    <x v="1"/>
    <s v="North America"/>
    <n v="42"/>
    <s v="Middle Age 31-54"/>
    <x v="1"/>
  </r>
  <r>
    <n v="11199"/>
    <x v="0"/>
    <s v="Female"/>
    <n v="70000"/>
    <n v="4"/>
    <s v="Bachelors"/>
    <s v="Management"/>
    <s v="Yes"/>
    <n v="1"/>
    <x v="4"/>
    <s v="North America"/>
    <n v="59"/>
    <s v="Old 55+"/>
    <x v="0"/>
  </r>
  <r>
    <n v="20296"/>
    <x v="1"/>
    <s v="Female"/>
    <n v="60000"/>
    <n v="0"/>
    <s v="Partial College"/>
    <s v="Skilled Manual"/>
    <s v="No"/>
    <n v="1"/>
    <x v="3"/>
    <s v="North America"/>
    <n v="33"/>
    <s v="Middle Age 31-54"/>
    <x v="1"/>
  </r>
  <r>
    <n v="17546"/>
    <x v="0"/>
    <s v="Female"/>
    <n v="70000"/>
    <n v="1"/>
    <s v="Partial College"/>
    <s v="Skilled Manual"/>
    <s v="Yes"/>
    <n v="1"/>
    <x v="0"/>
    <s v="North America"/>
    <n v="44"/>
    <s v="Middle Age 31-54"/>
    <x v="1"/>
  </r>
  <r>
    <n v="18069"/>
    <x v="0"/>
    <s v="Male"/>
    <n v="70000"/>
    <n v="5"/>
    <s v="Bachelors"/>
    <s v="Management"/>
    <s v="Yes"/>
    <n v="4"/>
    <x v="4"/>
    <s v="North America"/>
    <n v="60"/>
    <s v="Old 55+"/>
    <x v="0"/>
  </r>
  <r>
    <n v="23712"/>
    <x v="1"/>
    <s v="Female"/>
    <n v="70000"/>
    <n v="2"/>
    <s v="Bachelors"/>
    <s v="Management"/>
    <s v="Yes"/>
    <n v="1"/>
    <x v="4"/>
    <s v="North America"/>
    <n v="59"/>
    <s v="Old 55+"/>
    <x v="0"/>
  </r>
  <r>
    <n v="23358"/>
    <x v="0"/>
    <s v="Male"/>
    <n v="60000"/>
    <n v="0"/>
    <s v="High School"/>
    <s v="Professional"/>
    <s v="Yes"/>
    <n v="2"/>
    <x v="2"/>
    <s v="North America"/>
    <n v="32"/>
    <s v="Middle Age 31-54"/>
    <x v="1"/>
  </r>
  <r>
    <n v="20518"/>
    <x v="0"/>
    <s v="Female"/>
    <n v="70000"/>
    <n v="2"/>
    <s v="Partial College"/>
    <s v="Professional"/>
    <s v="Yes"/>
    <n v="1"/>
    <x v="4"/>
    <s v="North America"/>
    <n v="58"/>
    <s v="Old 55+"/>
    <x v="0"/>
  </r>
  <r>
    <n v="28026"/>
    <x v="0"/>
    <s v="Female"/>
    <n v="40000"/>
    <n v="2"/>
    <s v="High School"/>
    <s v="Professional"/>
    <s v="No"/>
    <n v="2"/>
    <x v="1"/>
    <s v="North America"/>
    <n v="59"/>
    <s v="Old 55+"/>
    <x v="0"/>
  </r>
  <r>
    <n v="11669"/>
    <x v="1"/>
    <s v="Female"/>
    <n v="70000"/>
    <n v="2"/>
    <s v="Bachelors"/>
    <s v="Skilled Manual"/>
    <s v="Yes"/>
    <n v="1"/>
    <x v="1"/>
    <s v="North America"/>
    <n v="38"/>
    <s v="Middle Age 31-54"/>
    <x v="0"/>
  </r>
  <r>
    <n v="16020"/>
    <x v="0"/>
    <s v="Male"/>
    <n v="40000"/>
    <n v="0"/>
    <s v="High School"/>
    <s v="Skilled Manual"/>
    <s v="Yes"/>
    <n v="2"/>
    <x v="2"/>
    <s v="North America"/>
    <n v="28"/>
    <s v="Adolescent 0-30"/>
    <x v="1"/>
  </r>
  <r>
    <n v="27090"/>
    <x v="0"/>
    <s v="Female"/>
    <n v="60000"/>
    <n v="1"/>
    <s v="Graduate Degree"/>
    <s v="Professional"/>
    <s v="Yes"/>
    <n v="0"/>
    <x v="1"/>
    <s v="North America"/>
    <n v="37"/>
    <s v="Middle Age 31-54"/>
    <x v="1"/>
  </r>
  <r>
    <n v="27198"/>
    <x v="1"/>
    <s v="Female"/>
    <n v="80000"/>
    <n v="0"/>
    <s v="Graduate Degree"/>
    <s v="Skilled Manual"/>
    <s v="No"/>
    <n v="0"/>
    <x v="0"/>
    <s v="North America"/>
    <n v="40"/>
    <s v="Middle Age 31-54"/>
    <x v="0"/>
  </r>
  <r>
    <n v="19661"/>
    <x v="1"/>
    <s v="Male"/>
    <n v="90000"/>
    <n v="4"/>
    <s v="Bachelors"/>
    <s v="Management"/>
    <s v="Yes"/>
    <n v="1"/>
    <x v="3"/>
    <s v="North America"/>
    <n v="38"/>
    <s v="Middle Age 31-54"/>
    <x v="1"/>
  </r>
  <r>
    <n v="26327"/>
    <x v="0"/>
    <s v="Male"/>
    <n v="70000"/>
    <n v="4"/>
    <s v="Graduate Degree"/>
    <s v="Professional"/>
    <s v="Yes"/>
    <n v="0"/>
    <x v="1"/>
    <s v="North America"/>
    <n v="36"/>
    <s v="Middle Age 31-54"/>
    <x v="1"/>
  </r>
  <r>
    <n v="26341"/>
    <x v="0"/>
    <s v="Female"/>
    <n v="70000"/>
    <n v="5"/>
    <s v="Graduate Degree"/>
    <s v="Professional"/>
    <s v="Yes"/>
    <n v="2"/>
    <x v="0"/>
    <s v="North America"/>
    <n v="37"/>
    <s v="Middle Age 31-54"/>
    <x v="0"/>
  </r>
  <r>
    <n v="24958"/>
    <x v="1"/>
    <s v="Female"/>
    <n v="40000"/>
    <n v="5"/>
    <s v="High School"/>
    <s v="Professional"/>
    <s v="No"/>
    <n v="3"/>
    <x v="1"/>
    <s v="North America"/>
    <n v="60"/>
    <s v="Old 55+"/>
    <x v="1"/>
  </r>
  <r>
    <n v="13287"/>
    <x v="1"/>
    <s v="Male"/>
    <n v="110000"/>
    <n v="4"/>
    <s v="Bachelors"/>
    <s v="Management"/>
    <s v="Yes"/>
    <n v="4"/>
    <x v="2"/>
    <s v="North America"/>
    <n v="42"/>
    <s v="Middle Age 31-54"/>
    <x v="1"/>
  </r>
  <r>
    <n v="14493"/>
    <x v="1"/>
    <s v="Female"/>
    <n v="70000"/>
    <n v="3"/>
    <s v="Graduate Degree"/>
    <s v="Management"/>
    <s v="No"/>
    <n v="2"/>
    <x v="3"/>
    <s v="North America"/>
    <n v="53"/>
    <s v="Middle Age 31-54"/>
    <x v="0"/>
  </r>
  <r>
    <n v="26678"/>
    <x v="1"/>
    <s v="Female"/>
    <n v="80000"/>
    <n v="2"/>
    <s v="Partial High School"/>
    <s v="Skilled Manual"/>
    <s v="Yes"/>
    <n v="2"/>
    <x v="2"/>
    <s v="North America"/>
    <n v="49"/>
    <s v="Middle Age 31-54"/>
    <x v="0"/>
  </r>
  <r>
    <n v="23275"/>
    <x v="0"/>
    <s v="Male"/>
    <n v="30000"/>
    <n v="2"/>
    <s v="High School"/>
    <s v="Skilled Manual"/>
    <s v="Yes"/>
    <n v="2"/>
    <x v="3"/>
    <s v="North America"/>
    <n v="49"/>
    <s v="Middle Age 31-54"/>
    <x v="0"/>
  </r>
  <r>
    <n v="11270"/>
    <x v="0"/>
    <s v="Male"/>
    <n v="130000"/>
    <n v="2"/>
    <s v="Graduate Degree"/>
    <s v="Management"/>
    <s v="Yes"/>
    <n v="3"/>
    <x v="0"/>
    <s v="North America"/>
    <n v="42"/>
    <s v="Middle Age 31-54"/>
    <x v="1"/>
  </r>
  <r>
    <n v="20084"/>
    <x v="0"/>
    <s v="Male"/>
    <n v="20000"/>
    <n v="2"/>
    <s v="High School"/>
    <s v="Manual"/>
    <s v="No"/>
    <n v="2"/>
    <x v="0"/>
    <s v="North America"/>
    <n v="53"/>
    <s v="Middle Age 31-54"/>
    <x v="0"/>
  </r>
  <r>
    <n v="16144"/>
    <x v="0"/>
    <s v="Male"/>
    <n v="70000"/>
    <n v="1"/>
    <s v="Graduate Degree"/>
    <s v="Professional"/>
    <s v="Yes"/>
    <n v="1"/>
    <x v="0"/>
    <s v="North America"/>
    <n v="46"/>
    <s v="Middle Age 31-54"/>
    <x v="1"/>
  </r>
  <r>
    <n v="27731"/>
    <x v="0"/>
    <s v="Male"/>
    <n v="40000"/>
    <n v="0"/>
    <s v="High School"/>
    <s v="Skilled Manual"/>
    <s v="Yes"/>
    <n v="2"/>
    <x v="2"/>
    <s v="North America"/>
    <n v="27"/>
    <s v="Adolescent 0-30"/>
    <x v="0"/>
  </r>
  <r>
    <n v="11886"/>
    <x v="0"/>
    <s v="Female"/>
    <n v="60000"/>
    <n v="3"/>
    <s v="Bachelors"/>
    <s v="Professional"/>
    <s v="Yes"/>
    <n v="1"/>
    <x v="0"/>
    <s v="North America"/>
    <n v="48"/>
    <s v="Middle Age 31-54"/>
    <x v="1"/>
  </r>
  <r>
    <n v="24324"/>
    <x v="1"/>
    <s v="Female"/>
    <n v="60000"/>
    <n v="4"/>
    <s v="Bachelors"/>
    <s v="Skilled Manual"/>
    <s v="Yes"/>
    <n v="2"/>
    <x v="1"/>
    <s v="North America"/>
    <n v="41"/>
    <s v="Middle Age 31-54"/>
    <x v="1"/>
  </r>
  <r>
    <n v="22220"/>
    <x v="0"/>
    <s v="Male"/>
    <n v="60000"/>
    <n v="2"/>
    <s v="High School"/>
    <s v="Professional"/>
    <s v="No"/>
    <n v="2"/>
    <x v="3"/>
    <s v="North America"/>
    <n v="49"/>
    <s v="Middle Age 31-54"/>
    <x v="1"/>
  </r>
  <r>
    <n v="26625"/>
    <x v="1"/>
    <s v="Female"/>
    <n v="60000"/>
    <n v="0"/>
    <s v="Graduate Degree"/>
    <s v="Professional"/>
    <s v="Yes"/>
    <n v="1"/>
    <x v="1"/>
    <s v="North America"/>
    <n v="38"/>
    <s v="Middle Age 31-54"/>
    <x v="1"/>
  </r>
  <r>
    <n v="23027"/>
    <x v="1"/>
    <s v="Male"/>
    <n v="130000"/>
    <n v="1"/>
    <s v="Bachelors"/>
    <s v="Management"/>
    <s v="No"/>
    <n v="4"/>
    <x v="0"/>
    <s v="North America"/>
    <n v="44"/>
    <s v="Middle Age 31-54"/>
    <x v="0"/>
  </r>
  <r>
    <n v="16867"/>
    <x v="1"/>
    <s v="Female"/>
    <n v="130000"/>
    <n v="1"/>
    <s v="Bachelors"/>
    <s v="Management"/>
    <s v="No"/>
    <n v="3"/>
    <x v="0"/>
    <s v="North America"/>
    <n v="45"/>
    <s v="Middle Age 31-54"/>
    <x v="1"/>
  </r>
  <r>
    <n v="14514"/>
    <x v="1"/>
    <s v="Female"/>
    <n v="30000"/>
    <n v="0"/>
    <s v="Partial College"/>
    <s v="Skilled Manual"/>
    <s v="Yes"/>
    <n v="1"/>
    <x v="2"/>
    <s v="North America"/>
    <n v="26"/>
    <s v="Adolescent 0-30"/>
    <x v="0"/>
  </r>
  <r>
    <n v="19634"/>
    <x v="0"/>
    <s v="Male"/>
    <n v="40000"/>
    <n v="0"/>
    <s v="High School"/>
    <s v="Skilled Manual"/>
    <s v="Yes"/>
    <n v="1"/>
    <x v="2"/>
    <s v="North America"/>
    <n v="31"/>
    <s v="Middle Age 31-54"/>
    <x v="0"/>
  </r>
  <r>
    <n v="18504"/>
    <x v="0"/>
    <s v="Male"/>
    <n v="70000"/>
    <n v="2"/>
    <s v="Partial High School"/>
    <s v="Skilled Manual"/>
    <s v="No"/>
    <n v="2"/>
    <x v="3"/>
    <s v="North America"/>
    <n v="49"/>
    <s v="Middle Age 31-54"/>
    <x v="0"/>
  </r>
  <r>
    <n v="28799"/>
    <x v="1"/>
    <s v="Female"/>
    <n v="40000"/>
    <n v="2"/>
    <s v="Partial College"/>
    <s v="Clerical"/>
    <s v="No"/>
    <n v="1"/>
    <x v="3"/>
    <s v="North America"/>
    <n v="47"/>
    <s v="Middle Age 31-54"/>
    <x v="1"/>
  </r>
  <r>
    <n v="11225"/>
    <x v="0"/>
    <s v="Female"/>
    <n v="60000"/>
    <n v="2"/>
    <s v="Partial College"/>
    <s v="Professional"/>
    <s v="Yes"/>
    <n v="1"/>
    <x v="4"/>
    <s v="North America"/>
    <n v="55"/>
    <s v="Old 55+"/>
    <x v="0"/>
  </r>
  <r>
    <n v="17657"/>
    <x v="0"/>
    <s v="Male"/>
    <n v="40000"/>
    <n v="4"/>
    <s v="Partial College"/>
    <s v="Clerical"/>
    <s v="No"/>
    <n v="0"/>
    <x v="0"/>
    <s v="North America"/>
    <n v="30"/>
    <s v="Adolescent 0-30"/>
    <x v="0"/>
  </r>
  <r>
    <n v="14913"/>
    <x v="0"/>
    <s v="Female"/>
    <n v="40000"/>
    <n v="1"/>
    <s v="Partial College"/>
    <s v="Clerical"/>
    <s v="Yes"/>
    <n v="1"/>
    <x v="3"/>
    <s v="North America"/>
    <n v="48"/>
    <s v="Middle Age 31-54"/>
    <x v="1"/>
  </r>
  <r>
    <n v="14077"/>
    <x v="1"/>
    <s v="Male"/>
    <n v="30000"/>
    <n v="0"/>
    <s v="High School"/>
    <s v="Skilled Manual"/>
    <s v="Yes"/>
    <n v="2"/>
    <x v="2"/>
    <s v="North America"/>
    <n v="30"/>
    <s v="Adolescent 0-30"/>
    <x v="0"/>
  </r>
  <r>
    <n v="13296"/>
    <x v="0"/>
    <s v="Male"/>
    <n v="110000"/>
    <n v="1"/>
    <s v="Bachelors"/>
    <s v="Management"/>
    <s v="Yes"/>
    <n v="3"/>
    <x v="2"/>
    <s v="North America"/>
    <n v="45"/>
    <s v="Middle Age 31-54"/>
    <x v="0"/>
  </r>
  <r>
    <n v="20535"/>
    <x v="0"/>
    <s v="Female"/>
    <n v="70000"/>
    <n v="4"/>
    <s v="Partial College"/>
    <s v="Professional"/>
    <s v="Yes"/>
    <n v="1"/>
    <x v="4"/>
    <s v="North America"/>
    <n v="56"/>
    <s v="Old 55+"/>
    <x v="0"/>
  </r>
  <r>
    <n v="12452"/>
    <x v="0"/>
    <s v="Male"/>
    <n v="60000"/>
    <n v="4"/>
    <s v="Graduate Degree"/>
    <s v="Skilled Manual"/>
    <s v="Yes"/>
    <n v="0"/>
    <x v="3"/>
    <s v="North America"/>
    <n v="47"/>
    <s v="Middle Age 31-54"/>
    <x v="1"/>
  </r>
  <r>
    <n v="28043"/>
    <x v="0"/>
    <s v="Female"/>
    <n v="60000"/>
    <n v="2"/>
    <s v="Bachelors"/>
    <s v="Management"/>
    <s v="Yes"/>
    <n v="0"/>
    <x v="4"/>
    <s v="North America"/>
    <n v="56"/>
    <s v="Old 55+"/>
    <x v="0"/>
  </r>
  <r>
    <n v="12957"/>
    <x v="1"/>
    <s v="Female"/>
    <n v="70000"/>
    <n v="1"/>
    <s v="Bachelors"/>
    <s v="Professional"/>
    <s v="No"/>
    <n v="1"/>
    <x v="0"/>
    <s v="North America"/>
    <n v="44"/>
    <s v="Middle Age 31-54"/>
    <x v="0"/>
  </r>
  <r>
    <n v="15412"/>
    <x v="0"/>
    <s v="Male"/>
    <n v="130000"/>
    <n v="2"/>
    <s v="Graduate Degree"/>
    <s v="Management"/>
    <s v="Yes"/>
    <n v="3"/>
    <x v="1"/>
    <s v="North America"/>
    <n v="69"/>
    <s v="Old 55+"/>
    <x v="0"/>
  </r>
  <r>
    <n v="20514"/>
    <x v="0"/>
    <s v="Female"/>
    <n v="70000"/>
    <n v="2"/>
    <s v="Partial College"/>
    <s v="Professional"/>
    <s v="Yes"/>
    <n v="1"/>
    <x v="1"/>
    <s v="North America"/>
    <n v="59"/>
    <s v="Old 55+"/>
    <x v="0"/>
  </r>
  <r>
    <n v="20758"/>
    <x v="0"/>
    <s v="Male"/>
    <n v="30000"/>
    <n v="2"/>
    <s v="High School"/>
    <s v="Skilled Manual"/>
    <s v="Yes"/>
    <n v="2"/>
    <x v="3"/>
    <s v="North America"/>
    <n v="50"/>
    <s v="Middle Age 31-54"/>
    <x v="0"/>
  </r>
  <r>
    <n v="11801"/>
    <x v="0"/>
    <s v="Male"/>
    <n v="60000"/>
    <n v="1"/>
    <s v="Graduate Degree"/>
    <s v="Professional"/>
    <s v="Yes"/>
    <n v="0"/>
    <x v="1"/>
    <s v="North America"/>
    <n v="36"/>
    <s v="Middle Age 31-54"/>
    <x v="0"/>
  </r>
  <r>
    <n v="22211"/>
    <x v="0"/>
    <s v="Male"/>
    <n v="60000"/>
    <n v="0"/>
    <s v="Partial College"/>
    <s v="Professional"/>
    <s v="Yes"/>
    <n v="2"/>
    <x v="2"/>
    <s v="North America"/>
    <n v="32"/>
    <s v="Middle Age 31-54"/>
    <x v="0"/>
  </r>
  <r>
    <n v="28087"/>
    <x v="1"/>
    <s v="Female"/>
    <n v="40000"/>
    <n v="0"/>
    <s v="Partial College"/>
    <s v="Skilled Manual"/>
    <s v="No"/>
    <n v="1"/>
    <x v="3"/>
    <s v="North America"/>
    <n v="27"/>
    <s v="Adolescent 0-30"/>
    <x v="0"/>
  </r>
  <r>
    <n v="23668"/>
    <x v="0"/>
    <s v="Female"/>
    <n v="40000"/>
    <n v="4"/>
    <s v="High School"/>
    <s v="Professional"/>
    <s v="Yes"/>
    <n v="2"/>
    <x v="2"/>
    <s v="North America"/>
    <n v="59"/>
    <s v="Old 55+"/>
    <x v="1"/>
  </r>
  <r>
    <n v="27441"/>
    <x v="0"/>
    <s v="Male"/>
    <n v="60000"/>
    <n v="3"/>
    <s v="High School"/>
    <s v="Professional"/>
    <s v="No"/>
    <n v="2"/>
    <x v="1"/>
    <s v="North America"/>
    <n v="53"/>
    <s v="Middle Age 31-54"/>
    <x v="0"/>
  </r>
  <r>
    <n v="27261"/>
    <x v="0"/>
    <s v="Male"/>
    <n v="40000"/>
    <n v="1"/>
    <s v="Bachelors"/>
    <s v="Skilled Manual"/>
    <s v="No"/>
    <n v="1"/>
    <x v="0"/>
    <s v="North America"/>
    <n v="36"/>
    <s v="Middle Age 31-54"/>
    <x v="1"/>
  </r>
  <r>
    <n v="18649"/>
    <x v="1"/>
    <s v="Male"/>
    <n v="30000"/>
    <n v="1"/>
    <s v="High School"/>
    <s v="Clerical"/>
    <s v="Yes"/>
    <n v="2"/>
    <x v="3"/>
    <s v="North America"/>
    <n v="51"/>
    <s v="Middle Age 31-54"/>
    <x v="1"/>
  </r>
  <r>
    <n v="21714"/>
    <x v="1"/>
    <s v="Female"/>
    <n v="80000"/>
    <n v="5"/>
    <s v="Graduate Degree"/>
    <s v="Skilled Manual"/>
    <s v="No"/>
    <n v="0"/>
    <x v="0"/>
    <s v="North America"/>
    <n v="47"/>
    <s v="Middle Age 31-54"/>
    <x v="0"/>
  </r>
  <r>
    <n v="23217"/>
    <x v="1"/>
    <s v="Female"/>
    <n v="60000"/>
    <n v="3"/>
    <s v="Graduate Degree"/>
    <s v="Professional"/>
    <s v="Yes"/>
    <n v="0"/>
    <x v="1"/>
    <s v="North America"/>
    <n v="43"/>
    <s v="Middle Age 31-54"/>
    <x v="1"/>
  </r>
  <r>
    <n v="23797"/>
    <x v="1"/>
    <s v="Male"/>
    <n v="20000"/>
    <n v="3"/>
    <s v="Partial High School"/>
    <s v="Clerical"/>
    <s v="No"/>
    <n v="2"/>
    <x v="0"/>
    <s v="North America"/>
    <n v="50"/>
    <s v="Middle Age 31-54"/>
    <x v="0"/>
  </r>
  <r>
    <n v="13216"/>
    <x v="0"/>
    <s v="Female"/>
    <n v="60000"/>
    <n v="5"/>
    <s v="Bachelors"/>
    <s v="Management"/>
    <s v="Yes"/>
    <n v="3"/>
    <x v="4"/>
    <s v="North America"/>
    <n v="59"/>
    <s v="Old 55+"/>
    <x v="0"/>
  </r>
  <r>
    <n v="20657"/>
    <x v="1"/>
    <s v="Male"/>
    <n v="50000"/>
    <n v="2"/>
    <s v="Bachelors"/>
    <s v="Skilled Manual"/>
    <s v="Yes"/>
    <n v="0"/>
    <x v="1"/>
    <s v="North America"/>
    <n v="37"/>
    <s v="Middle Age 31-54"/>
    <x v="1"/>
  </r>
  <r>
    <n v="12882"/>
    <x v="0"/>
    <s v="Male"/>
    <n v="50000"/>
    <n v="1"/>
    <s v="Graduate Degree"/>
    <s v="Skilled Manual"/>
    <s v="Yes"/>
    <n v="0"/>
    <x v="0"/>
    <s v="North America"/>
    <n v="33"/>
    <s v="Middle Age 31-54"/>
    <x v="1"/>
  </r>
  <r>
    <n v="25908"/>
    <x v="0"/>
    <s v="Female"/>
    <n v="60000"/>
    <n v="0"/>
    <s v="Partial College"/>
    <s v="Skilled Manual"/>
    <s v="No"/>
    <n v="1"/>
    <x v="3"/>
    <s v="North America"/>
    <n v="27"/>
    <s v="Adolescent 0-30"/>
    <x v="0"/>
  </r>
  <r>
    <n v="16753"/>
    <x v="1"/>
    <s v="Female"/>
    <n v="70000"/>
    <n v="0"/>
    <s v="Partial College"/>
    <s v="Skilled Manual"/>
    <s v="Yes"/>
    <n v="2"/>
    <x v="2"/>
    <s v="North America"/>
    <n v="34"/>
    <s v="Middle Age 31-54"/>
    <x v="1"/>
  </r>
  <r>
    <n v="14608"/>
    <x v="0"/>
    <s v="Male"/>
    <n v="50000"/>
    <n v="4"/>
    <s v="Bachelors"/>
    <s v="Skilled Manual"/>
    <s v="Yes"/>
    <n v="3"/>
    <x v="4"/>
    <s v="North America"/>
    <n v="42"/>
    <s v="Middle Age 31-54"/>
    <x v="0"/>
  </r>
  <r>
    <n v="24979"/>
    <x v="0"/>
    <s v="Female"/>
    <n v="60000"/>
    <n v="2"/>
    <s v="Partial College"/>
    <s v="Professional"/>
    <s v="Yes"/>
    <n v="2"/>
    <x v="1"/>
    <s v="North America"/>
    <n v="57"/>
    <s v="Old 55+"/>
    <x v="1"/>
  </r>
  <r>
    <n v="13313"/>
    <x v="0"/>
    <s v="Female"/>
    <n v="120000"/>
    <n v="1"/>
    <s v="High School"/>
    <s v="Professional"/>
    <s v="No"/>
    <n v="4"/>
    <x v="1"/>
    <s v="North America"/>
    <n v="45"/>
    <s v="Middle Age 31-54"/>
    <x v="0"/>
  </r>
  <r>
    <n v="18952"/>
    <x v="0"/>
    <s v="Female"/>
    <n v="100000"/>
    <n v="4"/>
    <s v="Bachelors"/>
    <s v="Management"/>
    <s v="Yes"/>
    <n v="4"/>
    <x v="0"/>
    <s v="North America"/>
    <n v="40"/>
    <s v="Middle Age 31-54"/>
    <x v="0"/>
  </r>
  <r>
    <n v="17699"/>
    <x v="0"/>
    <s v="Male"/>
    <n v="60000"/>
    <n v="1"/>
    <s v="Graduate Degree"/>
    <s v="Skilled Manual"/>
    <s v="No"/>
    <n v="0"/>
    <x v="0"/>
    <s v="North America"/>
    <n v="55"/>
    <s v="Old 55+"/>
    <x v="0"/>
  </r>
  <r>
    <n v="14657"/>
    <x v="0"/>
    <s v="Male"/>
    <n v="80000"/>
    <n v="1"/>
    <s v="Partial College"/>
    <s v="Skilled Manual"/>
    <s v="No"/>
    <n v="1"/>
    <x v="0"/>
    <s v="North America"/>
    <n v="47"/>
    <s v="Middle Age 31-54"/>
    <x v="1"/>
  </r>
  <r>
    <n v="11540"/>
    <x v="1"/>
    <s v="Male"/>
    <n v="60000"/>
    <n v="4"/>
    <s v="Graduate Degree"/>
    <s v="Skilled Manual"/>
    <s v="Yes"/>
    <n v="0"/>
    <x v="3"/>
    <s v="North America"/>
    <n v="47"/>
    <s v="Middle Age 31-54"/>
    <x v="1"/>
  </r>
  <r>
    <n v="11783"/>
    <x v="0"/>
    <s v="Female"/>
    <n v="60000"/>
    <n v="1"/>
    <s v="Graduate Degree"/>
    <s v="Skilled Manual"/>
    <s v="Yes"/>
    <n v="0"/>
    <x v="0"/>
    <s v="North America"/>
    <n v="34"/>
    <s v="Middle Age 31-54"/>
    <x v="0"/>
  </r>
  <r>
    <n v="14602"/>
    <x v="0"/>
    <s v="Female"/>
    <n v="80000"/>
    <n v="3"/>
    <s v="Graduate Degree"/>
    <s v="Professional"/>
    <s v="Yes"/>
    <n v="0"/>
    <x v="0"/>
    <s v="North America"/>
    <n v="36"/>
    <s v="Middle Age 31-54"/>
    <x v="1"/>
  </r>
  <r>
    <n v="29030"/>
    <x v="0"/>
    <s v="Male"/>
    <n v="70000"/>
    <n v="2"/>
    <s v="Partial High School"/>
    <s v="Skilled Manual"/>
    <s v="Yes"/>
    <n v="2"/>
    <x v="4"/>
    <s v="North America"/>
    <n v="54"/>
    <s v="Middle Age 31-54"/>
    <x v="0"/>
  </r>
  <r>
    <n v="26490"/>
    <x v="1"/>
    <s v="Male"/>
    <n v="70000"/>
    <n v="2"/>
    <s v="Bachelors"/>
    <s v="Management"/>
    <s v="No"/>
    <n v="1"/>
    <x v="1"/>
    <s v="North America"/>
    <n v="59"/>
    <s v="Old 55+"/>
    <x v="1"/>
  </r>
  <r>
    <n v="13151"/>
    <x v="1"/>
    <s v="Male"/>
    <n v="40000"/>
    <n v="0"/>
    <s v="High School"/>
    <s v="Skilled Manual"/>
    <s v="Yes"/>
    <n v="2"/>
    <x v="2"/>
    <s v="North America"/>
    <n v="27"/>
    <s v="Adolescent 0-30"/>
    <x v="0"/>
  </r>
  <r>
    <n v="17260"/>
    <x v="0"/>
    <s v="Male"/>
    <n v="90000"/>
    <n v="5"/>
    <s v="Partial College"/>
    <s v="Professional"/>
    <s v="Yes"/>
    <n v="3"/>
    <x v="0"/>
    <s v="North America"/>
    <n v="41"/>
    <s v="Middle Age 31-54"/>
    <x v="0"/>
  </r>
  <r>
    <n v="15372"/>
    <x v="0"/>
    <s v="Male"/>
    <n v="80000"/>
    <n v="3"/>
    <s v="Partial College"/>
    <s v="Professional"/>
    <s v="No"/>
    <n v="2"/>
    <x v="1"/>
    <s v="North America"/>
    <n v="50"/>
    <s v="Middle Age 31-54"/>
    <x v="1"/>
  </r>
  <r>
    <n v="18105"/>
    <x v="0"/>
    <s v="Female"/>
    <n v="60000"/>
    <n v="2"/>
    <s v="Partial College"/>
    <s v="Professional"/>
    <s v="Yes"/>
    <n v="1"/>
    <x v="4"/>
    <s v="North America"/>
    <n v="55"/>
    <s v="Old 55+"/>
    <x v="0"/>
  </r>
  <r>
    <n v="19660"/>
    <x v="0"/>
    <s v="Male"/>
    <n v="80000"/>
    <n v="4"/>
    <s v="Bachelors"/>
    <s v="Management"/>
    <s v="Yes"/>
    <n v="0"/>
    <x v="0"/>
    <s v="North America"/>
    <n v="43"/>
    <s v="Middle Age 31-54"/>
    <x v="0"/>
  </r>
  <r>
    <n v="16112"/>
    <x v="1"/>
    <s v="Male"/>
    <n v="70000"/>
    <n v="4"/>
    <s v="Bachelors"/>
    <s v="Professional"/>
    <s v="Yes"/>
    <n v="2"/>
    <x v="1"/>
    <s v="North America"/>
    <n v="43"/>
    <s v="Middle Age 31-54"/>
    <x v="1"/>
  </r>
  <r>
    <n v="20698"/>
    <x v="0"/>
    <s v="Male"/>
    <n v="60000"/>
    <n v="4"/>
    <s v="Bachelors"/>
    <s v="Skilled Manual"/>
    <s v="Yes"/>
    <n v="3"/>
    <x v="2"/>
    <s v="North America"/>
    <n v="42"/>
    <s v="Middle Age 31-54"/>
    <x v="0"/>
  </r>
  <r>
    <n v="20076"/>
    <x v="1"/>
    <s v="Female"/>
    <n v="10000"/>
    <n v="2"/>
    <s v="High School"/>
    <s v="Manual"/>
    <s v="Yes"/>
    <n v="2"/>
    <x v="3"/>
    <s v="North America"/>
    <n v="53"/>
    <s v="Middle Age 31-54"/>
    <x v="1"/>
  </r>
  <r>
    <n v="24496"/>
    <x v="1"/>
    <s v="Female"/>
    <n v="40000"/>
    <n v="0"/>
    <s v="High School"/>
    <s v="Skilled Manual"/>
    <s v="No"/>
    <n v="2"/>
    <x v="0"/>
    <s v="North America"/>
    <n v="28"/>
    <s v="Adolescent 0-30"/>
    <x v="1"/>
  </r>
  <r>
    <n v="15468"/>
    <x v="0"/>
    <s v="Female"/>
    <n v="50000"/>
    <n v="1"/>
    <s v="Bachelors"/>
    <s v="Skilled Manual"/>
    <s v="Yes"/>
    <n v="1"/>
    <x v="0"/>
    <s v="North America"/>
    <n v="35"/>
    <s v="Middle Age 31-54"/>
    <x v="0"/>
  </r>
  <r>
    <n v="28031"/>
    <x v="1"/>
    <s v="Female"/>
    <n v="70000"/>
    <n v="2"/>
    <s v="Bachelors"/>
    <s v="Management"/>
    <s v="No"/>
    <n v="1"/>
    <x v="1"/>
    <s v="North America"/>
    <n v="59"/>
    <s v="Old 55+"/>
    <x v="1"/>
  </r>
  <r>
    <n v="26270"/>
    <x v="1"/>
    <s v="Female"/>
    <n v="20000"/>
    <n v="2"/>
    <s v="Partial High School"/>
    <s v="Clerical"/>
    <s v="Yes"/>
    <n v="2"/>
    <x v="3"/>
    <s v="North America"/>
    <n v="49"/>
    <s v="Middle Age 31-54"/>
    <x v="0"/>
  </r>
  <r>
    <n v="22221"/>
    <x v="0"/>
    <s v="Male"/>
    <n v="60000"/>
    <n v="2"/>
    <s v="High School"/>
    <s v="Professional"/>
    <s v="No"/>
    <n v="2"/>
    <x v="3"/>
    <s v="North America"/>
    <n v="48"/>
    <s v="Middle Age 31-54"/>
    <x v="1"/>
  </r>
  <r>
    <n v="28228"/>
    <x v="1"/>
    <s v="Female"/>
    <n v="80000"/>
    <n v="2"/>
    <s v="Partial High School"/>
    <s v="Skilled Manual"/>
    <s v="No"/>
    <n v="2"/>
    <x v="3"/>
    <s v="North America"/>
    <n v="50"/>
    <s v="Middle Age 31-54"/>
    <x v="0"/>
  </r>
  <r>
    <n v="18363"/>
    <x v="0"/>
    <s v="Male"/>
    <n v="40000"/>
    <n v="0"/>
    <s v="High School"/>
    <s v="Skilled Manual"/>
    <s v="Yes"/>
    <n v="2"/>
    <x v="2"/>
    <s v="North America"/>
    <n v="28"/>
    <s v="Adolescent 0-30"/>
    <x v="1"/>
  </r>
  <r>
    <n v="23256"/>
    <x v="1"/>
    <s v="Male"/>
    <n v="30000"/>
    <n v="1"/>
    <s v="High School"/>
    <s v="Clerical"/>
    <s v="No"/>
    <n v="1"/>
    <x v="2"/>
    <s v="North America"/>
    <n v="52"/>
    <s v="Middle Age 31-54"/>
    <x v="0"/>
  </r>
  <r>
    <n v="12768"/>
    <x v="0"/>
    <s v="Male"/>
    <n v="30000"/>
    <n v="1"/>
    <s v="High School"/>
    <s v="Clerical"/>
    <s v="Yes"/>
    <n v="1"/>
    <x v="1"/>
    <s v="North America"/>
    <n v="52"/>
    <s v="Middle Age 31-54"/>
    <x v="1"/>
  </r>
  <r>
    <n v="20361"/>
    <x v="0"/>
    <s v="Male"/>
    <n v="50000"/>
    <n v="2"/>
    <s v="Graduate Degree"/>
    <s v="Management"/>
    <s v="Yes"/>
    <n v="2"/>
    <x v="2"/>
    <s v="North America"/>
    <n v="69"/>
    <s v="Old 55+"/>
    <x v="0"/>
  </r>
  <r>
    <n v="21306"/>
    <x v="1"/>
    <s v="Male"/>
    <n v="60000"/>
    <n v="2"/>
    <s v="High School"/>
    <s v="Professional"/>
    <s v="Yes"/>
    <n v="2"/>
    <x v="2"/>
    <s v="North America"/>
    <n v="51"/>
    <s v="Middle Age 31-54"/>
    <x v="0"/>
  </r>
  <r>
    <n v="13382"/>
    <x v="0"/>
    <s v="Male"/>
    <n v="70000"/>
    <n v="5"/>
    <s v="Partial College"/>
    <s v="Professional"/>
    <s v="Yes"/>
    <n v="2"/>
    <x v="3"/>
    <s v="North America"/>
    <n v="57"/>
    <s v="Old 55+"/>
    <x v="1"/>
  </r>
  <r>
    <n v="20310"/>
    <x v="1"/>
    <s v="Male"/>
    <n v="60000"/>
    <n v="0"/>
    <s v="Partial College"/>
    <s v="Skilled Manual"/>
    <s v="Yes"/>
    <n v="1"/>
    <x v="2"/>
    <s v="North America"/>
    <n v="27"/>
    <s v="Adolescent 0-30"/>
    <x v="1"/>
  </r>
  <r>
    <n v="22971"/>
    <x v="1"/>
    <s v="Female"/>
    <n v="30000"/>
    <n v="0"/>
    <s v="High School"/>
    <s v="Skilled Manual"/>
    <s v="No"/>
    <n v="2"/>
    <x v="0"/>
    <s v="North America"/>
    <n v="25"/>
    <s v="Adolescent 0-30"/>
    <x v="1"/>
  </r>
  <r>
    <n v="15287"/>
    <x v="1"/>
    <s v="Female"/>
    <n v="50000"/>
    <n v="1"/>
    <s v="Graduate Degree"/>
    <s v="Skilled Manual"/>
    <s v="Yes"/>
    <n v="0"/>
    <x v="3"/>
    <s v="North America"/>
    <n v="33"/>
    <s v="Middle Age 31-54"/>
    <x v="1"/>
  </r>
  <r>
    <n v="15532"/>
    <x v="1"/>
    <s v="Male"/>
    <n v="60000"/>
    <n v="4"/>
    <s v="Bachelors"/>
    <s v="Professional"/>
    <s v="Yes"/>
    <n v="2"/>
    <x v="1"/>
    <s v="North America"/>
    <n v="43"/>
    <s v="Middle Age 31-54"/>
    <x v="1"/>
  </r>
  <r>
    <n v="11255"/>
    <x v="0"/>
    <s v="Male"/>
    <n v="70000"/>
    <n v="4"/>
    <s v="Graduate Degree"/>
    <s v="Management"/>
    <s v="Yes"/>
    <n v="2"/>
    <x v="2"/>
    <s v="North America"/>
    <n v="73"/>
    <s v="Old 55+"/>
    <x v="0"/>
  </r>
  <r>
    <n v="28090"/>
    <x v="0"/>
    <s v="Male"/>
    <n v="40000"/>
    <n v="0"/>
    <s v="Partial College"/>
    <s v="Skilled Manual"/>
    <s v="Yes"/>
    <n v="1"/>
    <x v="2"/>
    <s v="North America"/>
    <n v="27"/>
    <s v="Adolescent 0-30"/>
    <x v="0"/>
  </r>
  <r>
    <n v="15255"/>
    <x v="0"/>
    <s v="Male"/>
    <n v="40000"/>
    <n v="0"/>
    <s v="High School"/>
    <s v="Skilled Manual"/>
    <s v="Yes"/>
    <n v="2"/>
    <x v="2"/>
    <s v="North America"/>
    <n v="28"/>
    <s v="Adolescent 0-30"/>
    <x v="1"/>
  </r>
  <r>
    <n v="13154"/>
    <x v="0"/>
    <s v="Male"/>
    <n v="40000"/>
    <n v="0"/>
    <s v="High School"/>
    <s v="Skilled Manual"/>
    <s v="No"/>
    <n v="2"/>
    <x v="0"/>
    <s v="North America"/>
    <n v="27"/>
    <s v="Adolescent 0-30"/>
    <x v="1"/>
  </r>
  <r>
    <n v="26778"/>
    <x v="1"/>
    <s v="Female"/>
    <n v="40000"/>
    <n v="0"/>
    <s v="High School"/>
    <s v="Skilled Manual"/>
    <s v="Yes"/>
    <n v="2"/>
    <x v="2"/>
    <s v="North America"/>
    <n v="31"/>
    <s v="Middle Age 31-54"/>
    <x v="0"/>
  </r>
  <r>
    <n v="23248"/>
    <x v="0"/>
    <s v="Female"/>
    <n v="10000"/>
    <n v="2"/>
    <s v="High School"/>
    <s v="Manual"/>
    <s v="Yes"/>
    <n v="2"/>
    <x v="3"/>
    <s v="North America"/>
    <n v="53"/>
    <s v="Middle Age 31-54"/>
    <x v="0"/>
  </r>
  <r>
    <n v="21417"/>
    <x v="1"/>
    <s v="Female"/>
    <n v="60000"/>
    <n v="0"/>
    <s v="Partial College"/>
    <s v="Professional"/>
    <s v="No"/>
    <n v="2"/>
    <x v="3"/>
    <s v="North America"/>
    <n v="32"/>
    <s v="Middle Age 31-54"/>
    <x v="1"/>
  </r>
  <r>
    <n v="17668"/>
    <x v="1"/>
    <s v="Male"/>
    <n v="30000"/>
    <n v="2"/>
    <s v="High School"/>
    <s v="Skilled Manual"/>
    <s v="Yes"/>
    <n v="2"/>
    <x v="3"/>
    <s v="North America"/>
    <n v="50"/>
    <s v="Middle Age 31-54"/>
    <x v="1"/>
  </r>
  <r>
    <n v="27994"/>
    <x v="0"/>
    <s v="Female"/>
    <n v="40000"/>
    <n v="4"/>
    <s v="High School"/>
    <s v="Professional"/>
    <s v="Yes"/>
    <n v="2"/>
    <x v="2"/>
    <s v="North America"/>
    <n v="69"/>
    <s v="Old 55+"/>
    <x v="0"/>
  </r>
  <r>
    <n v="20376"/>
    <x v="1"/>
    <s v="Female"/>
    <n v="70000"/>
    <n v="3"/>
    <s v="Graduate Degree"/>
    <s v="Management"/>
    <s v="Yes"/>
    <n v="2"/>
    <x v="2"/>
    <s v="North America"/>
    <n v="52"/>
    <s v="Middle Age 31-54"/>
    <x v="1"/>
  </r>
  <r>
    <n v="25954"/>
    <x v="0"/>
    <s v="Male"/>
    <n v="60000"/>
    <n v="0"/>
    <s v="Partial College"/>
    <s v="Skilled Manual"/>
    <s v="No"/>
    <n v="2"/>
    <x v="3"/>
    <s v="North America"/>
    <n v="31"/>
    <s v="Middle Age 31-54"/>
    <x v="0"/>
  </r>
  <r>
    <n v="15749"/>
    <x v="1"/>
    <s v="Female"/>
    <n v="70000"/>
    <n v="4"/>
    <s v="Bachelors"/>
    <s v="Management"/>
    <s v="Yes"/>
    <n v="2"/>
    <x v="4"/>
    <s v="North America"/>
    <n v="61"/>
    <s v="Old 55+"/>
    <x v="0"/>
  </r>
  <r>
    <n v="25899"/>
    <x v="0"/>
    <s v="Female"/>
    <n v="70000"/>
    <n v="2"/>
    <s v="High School"/>
    <s v="Professional"/>
    <s v="Yes"/>
    <n v="2"/>
    <x v="4"/>
    <s v="North America"/>
    <n v="53"/>
    <s v="Middle Age 31-54"/>
    <x v="0"/>
  </r>
  <r>
    <n v="13351"/>
    <x v="1"/>
    <s v="Female"/>
    <n v="70000"/>
    <n v="4"/>
    <s v="Bachelors"/>
    <s v="Management"/>
    <s v="Yes"/>
    <n v="2"/>
    <x v="3"/>
    <s v="North America"/>
    <n v="62"/>
    <s v="Old 55+"/>
    <x v="1"/>
  </r>
  <r>
    <n v="23333"/>
    <x v="0"/>
    <s v="Male"/>
    <n v="40000"/>
    <n v="0"/>
    <s v="Partial College"/>
    <s v="Skilled Manual"/>
    <s v="No"/>
    <n v="2"/>
    <x v="3"/>
    <s v="North America"/>
    <n v="30"/>
    <s v="Adolescent 0-30"/>
    <x v="0"/>
  </r>
  <r>
    <n v="21660"/>
    <x v="0"/>
    <s v="Female"/>
    <n v="60000"/>
    <n v="3"/>
    <s v="Graduate Degree"/>
    <s v="Professional"/>
    <s v="Yes"/>
    <n v="0"/>
    <x v="1"/>
    <s v="North America"/>
    <n v="43"/>
    <s v="Middle Age 31-54"/>
    <x v="1"/>
  </r>
  <r>
    <n v="17012"/>
    <x v="0"/>
    <s v="Female"/>
    <n v="60000"/>
    <n v="3"/>
    <s v="Graduate Degree"/>
    <s v="Professional"/>
    <s v="Yes"/>
    <n v="0"/>
    <x v="1"/>
    <s v="North America"/>
    <n v="42"/>
    <s v="Middle Age 31-54"/>
    <x v="1"/>
  </r>
  <r>
    <n v="24514"/>
    <x v="0"/>
    <s v="Male"/>
    <n v="40000"/>
    <n v="0"/>
    <s v="Partial College"/>
    <s v="Skilled Manual"/>
    <s v="Yes"/>
    <n v="1"/>
    <x v="2"/>
    <s v="North America"/>
    <n v="30"/>
    <s v="Adolescent 0-30"/>
    <x v="0"/>
  </r>
  <r>
    <n v="27505"/>
    <x v="1"/>
    <s v="Female"/>
    <n v="40000"/>
    <n v="0"/>
    <s v="High School"/>
    <s v="Skilled Manual"/>
    <s v="Yes"/>
    <n v="2"/>
    <x v="2"/>
    <s v="North America"/>
    <n v="30"/>
    <s v="Adolescent 0-30"/>
    <x v="0"/>
  </r>
  <r>
    <n v="29243"/>
    <x v="1"/>
    <s v="Male"/>
    <n v="110000"/>
    <n v="1"/>
    <s v="Bachelors"/>
    <s v="Management"/>
    <s v="Yes"/>
    <n v="1"/>
    <x v="2"/>
    <s v="North America"/>
    <n v="43"/>
    <s v="Middle Age 31-54"/>
    <x v="0"/>
  </r>
  <r>
    <n v="26582"/>
    <x v="0"/>
    <s v="Male"/>
    <n v="60000"/>
    <n v="0"/>
    <s v="Partial College"/>
    <s v="Skilled Manual"/>
    <s v="Yes"/>
    <n v="2"/>
    <x v="2"/>
    <s v="North America"/>
    <n v="33"/>
    <s v="Middle Age 31-54"/>
    <x v="1"/>
  </r>
  <r>
    <n v="14271"/>
    <x v="0"/>
    <s v="Male"/>
    <n v="30000"/>
    <n v="0"/>
    <s v="High School"/>
    <s v="Skilled Manual"/>
    <s v="Yes"/>
    <n v="2"/>
    <x v="2"/>
    <s v="North America"/>
    <n v="32"/>
    <s v="Middle Age 31-54"/>
    <x v="0"/>
  </r>
  <r>
    <n v="23041"/>
    <x v="1"/>
    <s v="Female"/>
    <n v="70000"/>
    <n v="4"/>
    <s v="High School"/>
    <s v="Professional"/>
    <s v="Yes"/>
    <n v="0"/>
    <x v="2"/>
    <s v="North America"/>
    <n v="50"/>
    <s v="Middle Age 31-54"/>
    <x v="1"/>
  </r>
  <r>
    <n v="29048"/>
    <x v="1"/>
    <s v="Male"/>
    <n v="110000"/>
    <n v="2"/>
    <s v="Bachelors"/>
    <s v="Management"/>
    <s v="No"/>
    <n v="3"/>
    <x v="0"/>
    <s v="North America"/>
    <n v="37"/>
    <s v="Middle Age 31-54"/>
    <x v="1"/>
  </r>
  <r>
    <n v="24433"/>
    <x v="0"/>
    <s v="Male"/>
    <n v="70000"/>
    <n v="3"/>
    <s v="High School"/>
    <s v="Professional"/>
    <s v="No"/>
    <n v="1"/>
    <x v="3"/>
    <s v="North America"/>
    <n v="52"/>
    <s v="Middle Age 31-54"/>
    <x v="1"/>
  </r>
  <r>
    <n v="15501"/>
    <x v="0"/>
    <s v="Male"/>
    <n v="70000"/>
    <n v="4"/>
    <s v="Graduate Degree"/>
    <s v="Professional"/>
    <s v="Yes"/>
    <n v="0"/>
    <x v="1"/>
    <s v="North America"/>
    <n v="36"/>
    <s v="Middle Age 31-54"/>
    <x v="1"/>
  </r>
  <r>
    <n v="13911"/>
    <x v="1"/>
    <s v="Female"/>
    <n v="80000"/>
    <n v="3"/>
    <s v="Bachelors"/>
    <s v="Skilled Manual"/>
    <s v="Yes"/>
    <n v="2"/>
    <x v="1"/>
    <s v="North America"/>
    <n v="41"/>
    <s v="Middle Age 31-54"/>
    <x v="1"/>
  </r>
  <r>
    <n v="20421"/>
    <x v="1"/>
    <s v="Female"/>
    <n v="40000"/>
    <n v="0"/>
    <s v="Partial High School"/>
    <s v="Clerical"/>
    <s v="Yes"/>
    <n v="2"/>
    <x v="2"/>
    <s v="North America"/>
    <n v="26"/>
    <s v="Adolescent 0-30"/>
    <x v="0"/>
  </r>
  <r>
    <n v="16009"/>
    <x v="1"/>
    <s v="Male"/>
    <n v="170000"/>
    <n v="1"/>
    <s v="Graduate Degree"/>
    <s v="Management"/>
    <s v="No"/>
    <n v="4"/>
    <x v="0"/>
    <s v="North America"/>
    <n v="66"/>
    <s v="Old 55+"/>
    <x v="0"/>
  </r>
  <r>
    <n v="18411"/>
    <x v="0"/>
    <s v="Male"/>
    <n v="60000"/>
    <n v="2"/>
    <s v="High School"/>
    <s v="Professional"/>
    <s v="No"/>
    <n v="2"/>
    <x v="2"/>
    <s v="North America"/>
    <n v="51"/>
    <s v="Middle Age 31-54"/>
    <x v="0"/>
  </r>
  <r>
    <n v="19163"/>
    <x v="0"/>
    <s v="Female"/>
    <n v="70000"/>
    <n v="4"/>
    <s v="Bachelors"/>
    <s v="Professional"/>
    <s v="Yes"/>
    <n v="2"/>
    <x v="0"/>
    <s v="North America"/>
    <n v="43"/>
    <s v="Middle Age 31-54"/>
    <x v="1"/>
  </r>
  <r>
    <n v="18572"/>
    <x v="0"/>
    <s v="Female"/>
    <n v="60000"/>
    <n v="0"/>
    <s v="Graduate Degree"/>
    <s v="Professional"/>
    <s v="Yes"/>
    <n v="0"/>
    <x v="0"/>
    <s v="North America"/>
    <n v="39"/>
    <s v="Middle Age 31-54"/>
    <x v="0"/>
  </r>
  <r>
    <n v="27540"/>
    <x v="1"/>
    <s v="Female"/>
    <n v="70000"/>
    <n v="0"/>
    <s v="Bachelors"/>
    <s v="Professional"/>
    <s v="No"/>
    <n v="1"/>
    <x v="0"/>
    <s v="North America"/>
    <n v="37"/>
    <s v="Middle Age 31-54"/>
    <x v="1"/>
  </r>
  <r>
    <n v="19889"/>
    <x v="1"/>
    <s v="Female"/>
    <n v="70000"/>
    <n v="2"/>
    <s v="Partial High School"/>
    <s v="Skilled Manual"/>
    <s v="No"/>
    <n v="2"/>
    <x v="1"/>
    <s v="North America"/>
    <n v="54"/>
    <s v="Middle Age 31-54"/>
    <x v="1"/>
  </r>
  <r>
    <n v="12922"/>
    <x v="1"/>
    <s v="Female"/>
    <n v="60000"/>
    <n v="3"/>
    <s v="Bachelors"/>
    <s v="Skilled Manual"/>
    <s v="Yes"/>
    <n v="0"/>
    <x v="1"/>
    <s v="North America"/>
    <n v="40"/>
    <s v="Middle Age 31-54"/>
    <x v="1"/>
  </r>
  <r>
    <n v="18891"/>
    <x v="0"/>
    <s v="Female"/>
    <n v="40000"/>
    <n v="0"/>
    <s v="Partial College"/>
    <s v="Skilled Manual"/>
    <s v="Yes"/>
    <n v="2"/>
    <x v="2"/>
    <s v="North America"/>
    <n v="28"/>
    <s v="Adolescent 0-30"/>
    <x v="0"/>
  </r>
  <r>
    <n v="16773"/>
    <x v="0"/>
    <s v="Male"/>
    <n v="60000"/>
    <n v="1"/>
    <s v="Graduate Degree"/>
    <s v="Skilled Manual"/>
    <s v="Yes"/>
    <n v="0"/>
    <x v="0"/>
    <s v="North America"/>
    <n v="33"/>
    <s v="Middle Age 31-54"/>
    <x v="0"/>
  </r>
  <r>
    <n v="19143"/>
    <x v="1"/>
    <s v="Female"/>
    <n v="80000"/>
    <n v="3"/>
    <s v="Bachelors"/>
    <s v="Skilled Manual"/>
    <s v="Yes"/>
    <n v="2"/>
    <x v="1"/>
    <s v="North America"/>
    <n v="41"/>
    <s v="Middle Age 31-54"/>
    <x v="1"/>
  </r>
  <r>
    <n v="23882"/>
    <x v="1"/>
    <s v="Female"/>
    <n v="80000"/>
    <n v="3"/>
    <s v="Graduate Degree"/>
    <s v="Professional"/>
    <s v="Yes"/>
    <n v="0"/>
    <x v="0"/>
    <s v="North America"/>
    <n v="37"/>
    <s v="Middle Age 31-54"/>
    <x v="1"/>
  </r>
  <r>
    <n v="11233"/>
    <x v="0"/>
    <s v="Male"/>
    <n v="70000"/>
    <n v="4"/>
    <s v="Partial College"/>
    <s v="Professional"/>
    <s v="Yes"/>
    <n v="2"/>
    <x v="4"/>
    <s v="North America"/>
    <n v="53"/>
    <s v="Middle Age 31-54"/>
    <x v="0"/>
  </r>
  <r>
    <n v="12056"/>
    <x v="0"/>
    <s v="Male"/>
    <n v="120000"/>
    <n v="2"/>
    <s v="Graduate Degree"/>
    <s v="Management"/>
    <s v="Yes"/>
    <n v="3"/>
    <x v="2"/>
    <s v="North America"/>
    <n v="64"/>
    <s v="Old 55+"/>
    <x v="0"/>
  </r>
  <r>
    <n v="15555"/>
    <x v="0"/>
    <s v="Female"/>
    <n v="60000"/>
    <n v="1"/>
    <s v="Partial College"/>
    <s v="Skilled Manual"/>
    <s v="Yes"/>
    <n v="1"/>
    <x v="1"/>
    <s v="North America"/>
    <n v="45"/>
    <s v="Middle Age 31-54"/>
    <x v="1"/>
  </r>
  <r>
    <n v="18423"/>
    <x v="1"/>
    <s v="Male"/>
    <n v="80000"/>
    <n v="2"/>
    <s v="Partial High School"/>
    <s v="Skilled Manual"/>
    <s v="No"/>
    <n v="2"/>
    <x v="3"/>
    <s v="North America"/>
    <n v="52"/>
    <s v="Middle Age 31-54"/>
    <x v="0"/>
  </r>
  <r>
    <n v="22743"/>
    <x v="0"/>
    <s v="Female"/>
    <n v="40000"/>
    <n v="5"/>
    <s v="High School"/>
    <s v="Professional"/>
    <s v="Yes"/>
    <n v="2"/>
    <x v="4"/>
    <s v="North America"/>
    <n v="60"/>
    <s v="Old 55+"/>
    <x v="0"/>
  </r>
  <r>
    <n v="25343"/>
    <x v="1"/>
    <s v="Female"/>
    <n v="20000"/>
    <n v="3"/>
    <s v="Partial High School"/>
    <s v="Clerical"/>
    <s v="Yes"/>
    <n v="2"/>
    <x v="3"/>
    <s v="North America"/>
    <n v="50"/>
    <s v="Middle Age 31-54"/>
    <x v="0"/>
  </r>
  <r>
    <n v="13390"/>
    <x v="0"/>
    <s v="Female"/>
    <n v="70000"/>
    <n v="4"/>
    <s v="Partial College"/>
    <s v="Professional"/>
    <s v="No"/>
    <n v="1"/>
    <x v="3"/>
    <s v="North America"/>
    <n v="56"/>
    <s v="Old 55+"/>
    <x v="0"/>
  </r>
  <r>
    <n v="17482"/>
    <x v="1"/>
    <s v="Female"/>
    <n v="40000"/>
    <n v="0"/>
    <s v="Partial High School"/>
    <s v="Clerical"/>
    <s v="Yes"/>
    <n v="2"/>
    <x v="2"/>
    <s v="North America"/>
    <n v="29"/>
    <s v="Adolescent 0-30"/>
    <x v="0"/>
  </r>
  <r>
    <n v="13176"/>
    <x v="1"/>
    <s v="Male"/>
    <n v="130000"/>
    <n v="0"/>
    <s v="Graduate Degree"/>
    <s v="Management"/>
    <s v="No"/>
    <n v="2"/>
    <x v="0"/>
    <s v="North America"/>
    <n v="38"/>
    <s v="Middle Age 31-54"/>
    <x v="1"/>
  </r>
  <r>
    <n v="20504"/>
    <x v="0"/>
    <s v="Female"/>
    <n v="40000"/>
    <n v="5"/>
    <s v="High School"/>
    <s v="Professional"/>
    <s v="No"/>
    <n v="2"/>
    <x v="1"/>
    <s v="North America"/>
    <n v="60"/>
    <s v="Old 55+"/>
    <x v="0"/>
  </r>
  <r>
    <n v="12205"/>
    <x v="1"/>
    <s v="Female"/>
    <n v="130000"/>
    <n v="2"/>
    <s v="Bachelors"/>
    <s v="Management"/>
    <s v="No"/>
    <n v="4"/>
    <x v="0"/>
    <s v="North America"/>
    <n v="67"/>
    <s v="Old 55+"/>
    <x v="0"/>
  </r>
  <r>
    <n v="16751"/>
    <x v="0"/>
    <s v="Male"/>
    <n v="60000"/>
    <n v="0"/>
    <s v="Partial College"/>
    <s v="Skilled Manual"/>
    <s v="Yes"/>
    <n v="1"/>
    <x v="2"/>
    <s v="North America"/>
    <n v="32"/>
    <s v="Middle Age 31-54"/>
    <x v="1"/>
  </r>
  <r>
    <n v="21613"/>
    <x v="1"/>
    <s v="Male"/>
    <n v="50000"/>
    <n v="2"/>
    <s v="Bachelors"/>
    <s v="Skilled Manual"/>
    <s v="No"/>
    <n v="1"/>
    <x v="0"/>
    <s v="North America"/>
    <n v="39"/>
    <s v="Middle Age 31-54"/>
    <x v="1"/>
  </r>
  <r>
    <n v="24801"/>
    <x v="1"/>
    <s v="Male"/>
    <n v="60000"/>
    <n v="1"/>
    <s v="Graduate Degree"/>
    <s v="Professional"/>
    <s v="Yes"/>
    <n v="0"/>
    <x v="1"/>
    <s v="North America"/>
    <n v="35"/>
    <s v="Middle Age 31-54"/>
    <x v="1"/>
  </r>
  <r>
    <n v="17519"/>
    <x v="0"/>
    <s v="Female"/>
    <n v="60000"/>
    <n v="0"/>
    <s v="Partial College"/>
    <s v="Professional"/>
    <s v="Yes"/>
    <n v="2"/>
    <x v="2"/>
    <s v="North America"/>
    <n v="32"/>
    <s v="Middle Age 31-54"/>
    <x v="0"/>
  </r>
  <r>
    <n v="18347"/>
    <x v="1"/>
    <s v="Female"/>
    <n v="30000"/>
    <n v="0"/>
    <s v="Partial College"/>
    <s v="Skilled Manual"/>
    <s v="No"/>
    <n v="1"/>
    <x v="3"/>
    <s v="North America"/>
    <n v="31"/>
    <s v="Middle Age 31-54"/>
    <x v="0"/>
  </r>
  <r>
    <n v="29052"/>
    <x v="1"/>
    <s v="Male"/>
    <n v="40000"/>
    <n v="0"/>
    <s v="Partial College"/>
    <s v="Skilled Manual"/>
    <s v="Yes"/>
    <n v="1"/>
    <x v="2"/>
    <s v="North America"/>
    <n v="27"/>
    <s v="Adolescent 0-30"/>
    <x v="0"/>
  </r>
  <r>
    <n v="11745"/>
    <x v="0"/>
    <s v="Female"/>
    <n v="60000"/>
    <n v="1"/>
    <s v="Bachelors"/>
    <s v="Professional"/>
    <s v="Yes"/>
    <n v="1"/>
    <x v="0"/>
    <s v="North America"/>
    <n v="47"/>
    <s v="Middle Age 31-54"/>
    <x v="1"/>
  </r>
  <r>
    <n v="19147"/>
    <x v="0"/>
    <s v="Male"/>
    <n v="40000"/>
    <n v="0"/>
    <s v="Bachelors"/>
    <s v="Professional"/>
    <s v="No"/>
    <n v="1"/>
    <x v="0"/>
    <s v="North America"/>
    <n v="42"/>
    <s v="Middle Age 31-54"/>
    <x v="0"/>
  </r>
  <r>
    <n v="19217"/>
    <x v="0"/>
    <s v="Male"/>
    <n v="30000"/>
    <n v="2"/>
    <s v="High School"/>
    <s v="Skilled Manual"/>
    <s v="Yes"/>
    <n v="2"/>
    <x v="3"/>
    <s v="North America"/>
    <n v="49"/>
    <s v="Middle Age 31-54"/>
    <x v="0"/>
  </r>
  <r>
    <n v="15839"/>
    <x v="1"/>
    <s v="Male"/>
    <n v="30000"/>
    <n v="0"/>
    <s v="Partial College"/>
    <s v="Skilled Manual"/>
    <s v="Yes"/>
    <n v="1"/>
    <x v="2"/>
    <s v="North America"/>
    <n v="32"/>
    <s v="Middle Age 31-54"/>
    <x v="0"/>
  </r>
  <r>
    <n v="13714"/>
    <x v="0"/>
    <s v="Female"/>
    <n v="20000"/>
    <n v="2"/>
    <s v="High School"/>
    <s v="Manual"/>
    <s v="No"/>
    <n v="2"/>
    <x v="3"/>
    <s v="North America"/>
    <n v="53"/>
    <s v="Middle Age 31-54"/>
    <x v="1"/>
  </r>
  <r>
    <n v="22330"/>
    <x v="0"/>
    <s v="Male"/>
    <n v="50000"/>
    <n v="0"/>
    <s v="Graduate Degree"/>
    <s v="Skilled Manual"/>
    <s v="Yes"/>
    <n v="0"/>
    <x v="3"/>
    <s v="North America"/>
    <n v="32"/>
    <s v="Middle Age 31-54"/>
    <x v="1"/>
  </r>
  <r>
    <n v="18783"/>
    <x v="1"/>
    <s v="Male"/>
    <n v="80000"/>
    <n v="0"/>
    <s v="Bachelors"/>
    <s v="Management"/>
    <s v="No"/>
    <n v="1"/>
    <x v="0"/>
    <s v="North America"/>
    <n v="38"/>
    <s v="Middle Age 31-54"/>
    <x v="1"/>
  </r>
  <r>
    <n v="25041"/>
    <x v="1"/>
    <s v="Male"/>
    <n v="40000"/>
    <n v="0"/>
    <s v="High School"/>
    <s v="Skilled Manual"/>
    <s v="Yes"/>
    <n v="2"/>
    <x v="2"/>
    <s v="North America"/>
    <n v="31"/>
    <s v="Middle Age 31-54"/>
    <x v="0"/>
  </r>
  <r>
    <n v="22046"/>
    <x v="1"/>
    <s v="Female"/>
    <n v="80000"/>
    <n v="0"/>
    <s v="Bachelors"/>
    <s v="Management"/>
    <s v="No"/>
    <n v="1"/>
    <x v="0"/>
    <s v="North America"/>
    <n v="38"/>
    <s v="Middle Age 31-54"/>
    <x v="1"/>
  </r>
  <r>
    <n v="28052"/>
    <x v="0"/>
    <s v="Male"/>
    <n v="60000"/>
    <n v="2"/>
    <s v="High School"/>
    <s v="Professional"/>
    <s v="Yes"/>
    <n v="2"/>
    <x v="4"/>
    <s v="North America"/>
    <n v="55"/>
    <s v="Old 55+"/>
    <x v="0"/>
  </r>
  <r>
    <n v="26693"/>
    <x v="0"/>
    <s v="Male"/>
    <n v="70000"/>
    <n v="3"/>
    <s v="Partial College"/>
    <s v="Professional"/>
    <s v="Yes"/>
    <n v="1"/>
    <x v="2"/>
    <s v="North America"/>
    <n v="49"/>
    <s v="Middle Age 31-54"/>
    <x v="0"/>
  </r>
  <r>
    <n v="24955"/>
    <x v="1"/>
    <s v="Male"/>
    <n v="30000"/>
    <n v="5"/>
    <s v="Partial High School"/>
    <s v="Skilled Manual"/>
    <s v="Yes"/>
    <n v="3"/>
    <x v="4"/>
    <s v="North America"/>
    <n v="60"/>
    <s v="Old 55+"/>
    <x v="1"/>
  </r>
  <r>
    <n v="26065"/>
    <x v="1"/>
    <s v="Female"/>
    <n v="110000"/>
    <n v="3"/>
    <s v="Bachelors"/>
    <s v="Management"/>
    <s v="No"/>
    <n v="4"/>
    <x v="3"/>
    <s v="North America"/>
    <n v="42"/>
    <s v="Middle Age 31-54"/>
    <x v="0"/>
  </r>
  <r>
    <n v="13942"/>
    <x v="0"/>
    <s v="Male"/>
    <n v="60000"/>
    <n v="1"/>
    <s v="Partial College"/>
    <s v="Skilled Manual"/>
    <s v="Yes"/>
    <n v="1"/>
    <x v="0"/>
    <s v="North America"/>
    <n v="46"/>
    <s v="Middle Age 31-54"/>
    <x v="0"/>
  </r>
  <r>
    <n v="11219"/>
    <x v="0"/>
    <s v="Male"/>
    <n v="60000"/>
    <n v="2"/>
    <s v="High School"/>
    <s v="Professional"/>
    <s v="Yes"/>
    <n v="2"/>
    <x v="4"/>
    <s v="North America"/>
    <n v="55"/>
    <s v="Old 55+"/>
    <x v="0"/>
  </r>
  <r>
    <n v="22118"/>
    <x v="1"/>
    <s v="Female"/>
    <n v="70000"/>
    <n v="3"/>
    <s v="Graduate Degree"/>
    <s v="Management"/>
    <s v="Yes"/>
    <n v="2"/>
    <x v="2"/>
    <s v="North America"/>
    <n v="53"/>
    <s v="Middle Age 31-54"/>
    <x v="1"/>
  </r>
  <r>
    <n v="23197"/>
    <x v="0"/>
    <s v="Male"/>
    <n v="50000"/>
    <n v="3"/>
    <s v="Bachelors"/>
    <s v="Skilled Manual"/>
    <s v="Yes"/>
    <n v="2"/>
    <x v="1"/>
    <s v="North America"/>
    <n v="40"/>
    <s v="Middle Age 31-54"/>
    <x v="0"/>
  </r>
  <r>
    <n v="14883"/>
    <x v="0"/>
    <s v="Female"/>
    <n v="30000"/>
    <n v="1"/>
    <s v="Bachelors"/>
    <s v="Skilled Manual"/>
    <s v="Yes"/>
    <n v="1"/>
    <x v="2"/>
    <s v="North America"/>
    <n v="53"/>
    <s v="Middle Age 31-54"/>
    <x v="1"/>
  </r>
  <r>
    <n v="27279"/>
    <x v="1"/>
    <s v="Female"/>
    <n v="70000"/>
    <n v="2"/>
    <s v="Bachelors"/>
    <s v="Skilled Manual"/>
    <s v="Yes"/>
    <n v="0"/>
    <x v="1"/>
    <s v="North America"/>
    <n v="38"/>
    <s v="Middle Age 31-54"/>
    <x v="1"/>
  </r>
  <r>
    <n v="18322"/>
    <x v="1"/>
    <s v="Male"/>
    <n v="30000"/>
    <n v="0"/>
    <s v="Partial High School"/>
    <s v="Clerical"/>
    <s v="No"/>
    <n v="2"/>
    <x v="0"/>
    <s v="North America"/>
    <n v="26"/>
    <s v="Adolescent 0-30"/>
    <x v="0"/>
  </r>
  <r>
    <n v="15879"/>
    <x v="0"/>
    <s v="Male"/>
    <n v="70000"/>
    <n v="5"/>
    <s v="Bachelors"/>
    <s v="Management"/>
    <s v="Yes"/>
    <n v="2"/>
    <x v="1"/>
    <s v="North America"/>
    <n v="61"/>
    <s v="Old 55+"/>
    <x v="0"/>
  </r>
  <r>
    <n v="28278"/>
    <x v="0"/>
    <s v="Male"/>
    <n v="50000"/>
    <n v="2"/>
    <s v="Graduate Degree"/>
    <s v="Management"/>
    <s v="Yes"/>
    <n v="2"/>
    <x v="2"/>
    <s v="North America"/>
    <n v="71"/>
    <s v="Old 55+"/>
    <x v="0"/>
  </r>
  <r>
    <n v="24416"/>
    <x v="0"/>
    <s v="Male"/>
    <n v="90000"/>
    <n v="4"/>
    <s v="High School"/>
    <s v="Professional"/>
    <s v="Yes"/>
    <n v="2"/>
    <x v="3"/>
    <s v="North America"/>
    <n v="45"/>
    <s v="Middle Age 31-54"/>
    <x v="0"/>
  </r>
  <r>
    <n v="28066"/>
    <x v="0"/>
    <s v="Male"/>
    <n v="80000"/>
    <n v="2"/>
    <s v="Graduate Degree"/>
    <s v="Professional"/>
    <s v="Yes"/>
    <n v="0"/>
    <x v="0"/>
    <s v="North America"/>
    <n v="37"/>
    <s v="Middle Age 31-54"/>
    <x v="1"/>
  </r>
  <r>
    <n v="11275"/>
    <x v="0"/>
    <s v="Female"/>
    <n v="80000"/>
    <n v="4"/>
    <s v="Graduate Degree"/>
    <s v="Management"/>
    <s v="Yes"/>
    <n v="2"/>
    <x v="0"/>
    <s v="North America"/>
    <n v="72"/>
    <s v="Old 55+"/>
    <x v="1"/>
  </r>
  <r>
    <n v="14872"/>
    <x v="0"/>
    <s v="Male"/>
    <n v="30000"/>
    <n v="0"/>
    <s v="Graduate Degree"/>
    <s v="Skilled Manual"/>
    <s v="Yes"/>
    <n v="0"/>
    <x v="0"/>
    <s v="North America"/>
    <n v="32"/>
    <s v="Middle Age 31-54"/>
    <x v="0"/>
  </r>
  <r>
    <n v="16151"/>
    <x v="0"/>
    <s v="Female"/>
    <n v="60000"/>
    <n v="1"/>
    <s v="Bachelors"/>
    <s v="Professional"/>
    <s v="Yes"/>
    <n v="1"/>
    <x v="1"/>
    <s v="North America"/>
    <n v="48"/>
    <s v="Middle Age 31-54"/>
    <x v="1"/>
  </r>
  <r>
    <n v="19731"/>
    <x v="0"/>
    <s v="Male"/>
    <n v="80000"/>
    <n v="4"/>
    <s v="Graduate Degree"/>
    <s v="Management"/>
    <s v="Yes"/>
    <n v="2"/>
    <x v="2"/>
    <s v="North America"/>
    <n v="68"/>
    <s v="Old 55+"/>
    <x v="0"/>
  </r>
  <r>
    <n v="23801"/>
    <x v="0"/>
    <s v="Female"/>
    <n v="20000"/>
    <n v="2"/>
    <s v="Partial High School"/>
    <s v="Clerical"/>
    <s v="Yes"/>
    <n v="2"/>
    <x v="0"/>
    <s v="North America"/>
    <n v="49"/>
    <s v="Middle Age 31-54"/>
    <x v="0"/>
  </r>
  <r>
    <n v="11807"/>
    <x v="0"/>
    <s v="Male"/>
    <n v="70000"/>
    <n v="3"/>
    <s v="Graduate Degree"/>
    <s v="Professional"/>
    <s v="Yes"/>
    <n v="0"/>
    <x v="1"/>
    <s v="North America"/>
    <n v="34"/>
    <s v="Middle Age 31-54"/>
    <x v="0"/>
  </r>
  <r>
    <n v="11622"/>
    <x v="0"/>
    <s v="Male"/>
    <n v="50000"/>
    <n v="0"/>
    <s v="Graduate Degree"/>
    <s v="Skilled Manual"/>
    <s v="Yes"/>
    <n v="0"/>
    <x v="0"/>
    <s v="North America"/>
    <n v="32"/>
    <s v="Middle Age 31-54"/>
    <x v="0"/>
  </r>
  <r>
    <n v="26597"/>
    <x v="1"/>
    <s v="Female"/>
    <n v="60000"/>
    <n v="4"/>
    <s v="Bachelors"/>
    <s v="Skilled Manual"/>
    <s v="No"/>
    <n v="2"/>
    <x v="0"/>
    <s v="North America"/>
    <n v="42"/>
    <s v="Middle Age 31-54"/>
    <x v="0"/>
  </r>
  <r>
    <n v="27074"/>
    <x v="0"/>
    <s v="Female"/>
    <n v="70000"/>
    <n v="1"/>
    <s v="Graduate Degree"/>
    <s v="Skilled Manual"/>
    <s v="Yes"/>
    <n v="0"/>
    <x v="0"/>
    <s v="North America"/>
    <n v="35"/>
    <s v="Middle Age 31-54"/>
    <x v="1"/>
  </r>
  <r>
    <n v="19228"/>
    <x v="0"/>
    <s v="Female"/>
    <n v="40000"/>
    <n v="2"/>
    <s v="Partial College"/>
    <s v="Clerical"/>
    <s v="Yes"/>
    <n v="1"/>
    <x v="0"/>
    <s v="North America"/>
    <n v="48"/>
    <s v="Middle Age 31-54"/>
    <x v="0"/>
  </r>
  <r>
    <n v="13415"/>
    <x v="1"/>
    <s v="Male"/>
    <n v="100000"/>
    <n v="1"/>
    <s v="Graduate Degree"/>
    <s v="Management"/>
    <s v="Yes"/>
    <n v="3"/>
    <x v="1"/>
    <s v="North America"/>
    <n v="73"/>
    <s v="Old 55+"/>
    <x v="1"/>
  </r>
  <r>
    <n v="17000"/>
    <x v="1"/>
    <s v="Female"/>
    <n v="70000"/>
    <n v="4"/>
    <s v="Bachelors"/>
    <s v="Skilled Manual"/>
    <s v="Yes"/>
    <n v="2"/>
    <x v="1"/>
    <s v="North America"/>
    <n v="43"/>
    <s v="Middle Age 31-54"/>
    <x v="1"/>
  </r>
  <r>
    <n v="14569"/>
    <x v="0"/>
    <s v="Male"/>
    <n v="60000"/>
    <n v="1"/>
    <s v="Graduate Degree"/>
    <s v="Professional"/>
    <s v="Yes"/>
    <n v="0"/>
    <x v="0"/>
    <s v="North America"/>
    <n v="35"/>
    <s v="Middle Age 31-54"/>
    <x v="0"/>
  </r>
  <r>
    <n v="13873"/>
    <x v="0"/>
    <s v="Male"/>
    <n v="70000"/>
    <n v="3"/>
    <s v="Graduate Degree"/>
    <s v="Professional"/>
    <s v="Yes"/>
    <n v="0"/>
    <x v="0"/>
    <s v="North America"/>
    <n v="35"/>
    <s v="Middle Age 31-54"/>
    <x v="1"/>
  </r>
  <r>
    <n v="20401"/>
    <x v="0"/>
    <s v="Female"/>
    <n v="50000"/>
    <n v="4"/>
    <s v="Bachelors"/>
    <s v="Management"/>
    <s v="Yes"/>
    <n v="2"/>
    <x v="3"/>
    <s v="North America"/>
    <n v="64"/>
    <s v="Old 55+"/>
    <x v="1"/>
  </r>
  <r>
    <n v="21583"/>
    <x v="0"/>
    <s v="Female"/>
    <n v="50000"/>
    <n v="1"/>
    <s v="Bachelors"/>
    <s v="Skilled Manual"/>
    <s v="Yes"/>
    <n v="0"/>
    <x v="0"/>
    <s v="North America"/>
    <n v="34"/>
    <s v="Middle Age 31-54"/>
    <x v="1"/>
  </r>
  <r>
    <n v="12029"/>
    <x v="0"/>
    <s v="Male"/>
    <n v="30000"/>
    <n v="0"/>
    <s v="Partial High School"/>
    <s v="Clerical"/>
    <s v="No"/>
    <n v="2"/>
    <x v="0"/>
    <s v="North America"/>
    <n v="28"/>
    <s v="Adolescent 0-30"/>
    <x v="0"/>
  </r>
  <r>
    <n v="18066"/>
    <x v="1"/>
    <s v="Male"/>
    <n v="70000"/>
    <n v="5"/>
    <s v="Bachelors"/>
    <s v="Management"/>
    <s v="Yes"/>
    <n v="3"/>
    <x v="4"/>
    <s v="North America"/>
    <n v="60"/>
    <s v="Old 55+"/>
    <x v="1"/>
  </r>
  <r>
    <n v="28192"/>
    <x v="0"/>
    <s v="Female"/>
    <n v="70000"/>
    <n v="5"/>
    <s v="Graduate Degree"/>
    <s v="Professional"/>
    <s v="Yes"/>
    <n v="3"/>
    <x v="4"/>
    <s v="North America"/>
    <n v="46"/>
    <s v="Middle Age 31-54"/>
    <x v="0"/>
  </r>
  <r>
    <n v="16122"/>
    <x v="0"/>
    <s v="Male"/>
    <n v="40000"/>
    <n v="4"/>
    <s v="High School"/>
    <s v="Skilled Manual"/>
    <s v="Yes"/>
    <n v="2"/>
    <x v="0"/>
    <s v="North America"/>
    <n v="44"/>
    <s v="Middle Age 31-54"/>
    <x v="1"/>
  </r>
  <r>
    <n v="18607"/>
    <x v="1"/>
    <s v="Female"/>
    <n v="60000"/>
    <n v="4"/>
    <s v="Bachelors"/>
    <s v="Skilled Manual"/>
    <s v="Yes"/>
    <n v="2"/>
    <x v="1"/>
    <s v="North America"/>
    <n v="42"/>
    <s v="Middle Age 31-54"/>
    <x v="1"/>
  </r>
  <r>
    <n v="28858"/>
    <x v="1"/>
    <s v="Male"/>
    <n v="80000"/>
    <n v="3"/>
    <s v="Bachelors"/>
    <s v="Skilled Manual"/>
    <s v="Yes"/>
    <n v="0"/>
    <x v="1"/>
    <s v="North America"/>
    <n v="40"/>
    <s v="Middle Age 31-54"/>
    <x v="0"/>
  </r>
  <r>
    <n v="14432"/>
    <x v="1"/>
    <s v="Male"/>
    <n v="90000"/>
    <n v="4"/>
    <s v="Graduate Degree"/>
    <s v="Management"/>
    <s v="Yes"/>
    <n v="1"/>
    <x v="2"/>
    <s v="North America"/>
    <n v="73"/>
    <s v="Old 55+"/>
    <x v="0"/>
  </r>
  <r>
    <n v="26305"/>
    <x v="1"/>
    <s v="Female"/>
    <n v="60000"/>
    <n v="2"/>
    <s v="Bachelors"/>
    <s v="Skilled Manual"/>
    <s v="No"/>
    <n v="0"/>
    <x v="0"/>
    <s v="North America"/>
    <n v="36"/>
    <s v="Middle Age 31-54"/>
    <x v="1"/>
  </r>
  <r>
    <n v="22050"/>
    <x v="1"/>
    <s v="Male"/>
    <n v="90000"/>
    <n v="4"/>
    <s v="Bachelors"/>
    <s v="Management"/>
    <s v="Yes"/>
    <n v="1"/>
    <x v="3"/>
    <s v="North America"/>
    <n v="38"/>
    <s v="Middle Age 31-54"/>
    <x v="1"/>
  </r>
  <r>
    <n v="25394"/>
    <x v="0"/>
    <s v="Male"/>
    <n v="60000"/>
    <n v="1"/>
    <s v="Graduate Degree"/>
    <s v="Professional"/>
    <s v="Yes"/>
    <n v="0"/>
    <x v="1"/>
    <s v="North America"/>
    <n v="34"/>
    <s v="Middle Age 31-54"/>
    <x v="1"/>
  </r>
  <r>
    <n v="19747"/>
    <x v="0"/>
    <s v="Male"/>
    <n v="50000"/>
    <n v="4"/>
    <s v="Bachelors"/>
    <s v="Management"/>
    <s v="Yes"/>
    <n v="2"/>
    <x v="4"/>
    <s v="North America"/>
    <n v="63"/>
    <s v="Old 55+"/>
    <x v="0"/>
  </r>
  <r>
    <n v="23195"/>
    <x v="1"/>
    <s v="Male"/>
    <n v="50000"/>
    <n v="3"/>
    <s v="Bachelors"/>
    <s v="Skilled Manual"/>
    <s v="Yes"/>
    <n v="2"/>
    <x v="1"/>
    <s v="North America"/>
    <n v="41"/>
    <s v="Middle Age 31-54"/>
    <x v="1"/>
  </r>
  <r>
    <n v="21695"/>
    <x v="0"/>
    <s v="Male"/>
    <n v="60000"/>
    <n v="0"/>
    <s v="Graduate Degree"/>
    <s v="Skilled Manual"/>
    <s v="Yes"/>
    <n v="0"/>
    <x v="3"/>
    <s v="North America"/>
    <n v="39"/>
    <s v="Middle Age 31-54"/>
    <x v="1"/>
  </r>
  <r>
    <n v="13934"/>
    <x v="0"/>
    <s v="Male"/>
    <n v="40000"/>
    <n v="4"/>
    <s v="High School"/>
    <s v="Skilled Manual"/>
    <s v="Yes"/>
    <n v="2"/>
    <x v="1"/>
    <s v="North America"/>
    <n v="46"/>
    <s v="Middle Age 31-54"/>
    <x v="0"/>
  </r>
  <r>
    <n v="13337"/>
    <x v="0"/>
    <s v="Female"/>
    <n v="80000"/>
    <n v="5"/>
    <s v="Bachelors"/>
    <s v="Management"/>
    <s v="Yes"/>
    <n v="2"/>
    <x v="2"/>
    <s v="North America"/>
    <n v="64"/>
    <s v="Old 55+"/>
    <x v="0"/>
  </r>
  <r>
    <n v="27190"/>
    <x v="0"/>
    <s v="Female"/>
    <n v="40000"/>
    <n v="3"/>
    <s v="Partial College"/>
    <s v="Clerical"/>
    <s v="Yes"/>
    <n v="1"/>
    <x v="3"/>
    <s v="North America"/>
    <n v="32"/>
    <s v="Middle Age 31-54"/>
    <x v="0"/>
  </r>
  <r>
    <n v="28657"/>
    <x v="1"/>
    <s v="Male"/>
    <n v="60000"/>
    <n v="2"/>
    <s v="Bachelors"/>
    <s v="Skilled Manual"/>
    <s v="Yes"/>
    <n v="0"/>
    <x v="1"/>
    <s v="North America"/>
    <n v="36"/>
    <s v="Middle Age 31-54"/>
    <x v="1"/>
  </r>
  <r>
    <n v="21713"/>
    <x v="1"/>
    <s v="Male"/>
    <n v="80000"/>
    <n v="5"/>
    <s v="Graduate Degree"/>
    <s v="Skilled Manual"/>
    <s v="No"/>
    <n v="0"/>
    <x v="0"/>
    <s v="North America"/>
    <n v="47"/>
    <s v="Middle Age 31-54"/>
    <x v="0"/>
  </r>
  <r>
    <n v="21752"/>
    <x v="0"/>
    <s v="Male"/>
    <n v="60000"/>
    <n v="3"/>
    <s v="Graduate Degree"/>
    <s v="Management"/>
    <s v="Yes"/>
    <n v="2"/>
    <x v="4"/>
    <s v="North America"/>
    <n v="64"/>
    <s v="Old 55+"/>
    <x v="0"/>
  </r>
  <r>
    <n v="27273"/>
    <x v="1"/>
    <s v="Male"/>
    <n v="70000"/>
    <n v="3"/>
    <s v="Graduate Degree"/>
    <s v="Professional"/>
    <s v="No"/>
    <n v="0"/>
    <x v="0"/>
    <s v="North America"/>
    <n v="35"/>
    <s v="Middle Age 31-54"/>
    <x v="1"/>
  </r>
  <r>
    <n v="22719"/>
    <x v="1"/>
    <s v="Male"/>
    <n v="110000"/>
    <n v="3"/>
    <s v="Bachelors"/>
    <s v="Management"/>
    <s v="Yes"/>
    <n v="4"/>
    <x v="1"/>
    <s v="North America"/>
    <n v="40"/>
    <s v="Middle Age 31-54"/>
    <x v="1"/>
  </r>
  <r>
    <n v="22042"/>
    <x v="0"/>
    <s v="Female"/>
    <n v="70000"/>
    <n v="0"/>
    <s v="Partial College"/>
    <s v="Skilled Manual"/>
    <s v="Yes"/>
    <n v="2"/>
    <x v="2"/>
    <s v="North America"/>
    <n v="34"/>
    <s v="Middle Age 31-54"/>
    <x v="1"/>
  </r>
  <r>
    <n v="21451"/>
    <x v="0"/>
    <s v="Female"/>
    <n v="40000"/>
    <n v="4"/>
    <s v="High School"/>
    <s v="Professional"/>
    <s v="Yes"/>
    <n v="2"/>
    <x v="4"/>
    <s v="North America"/>
    <n v="61"/>
    <s v="Old 55+"/>
    <x v="0"/>
  </r>
  <r>
    <n v="20754"/>
    <x v="0"/>
    <s v="Male"/>
    <n v="30000"/>
    <n v="2"/>
    <s v="High School"/>
    <s v="Skilled Manual"/>
    <s v="Yes"/>
    <n v="2"/>
    <x v="3"/>
    <s v="North America"/>
    <n v="51"/>
    <s v="Middle Age 31-54"/>
    <x v="0"/>
  </r>
  <r>
    <n v="12153"/>
    <x v="1"/>
    <s v="Female"/>
    <n v="70000"/>
    <n v="3"/>
    <s v="Partial College"/>
    <s v="Professional"/>
    <s v="Yes"/>
    <n v="1"/>
    <x v="2"/>
    <s v="North America"/>
    <n v="49"/>
    <s v="Middle Age 31-54"/>
    <x v="1"/>
  </r>
  <r>
    <n v="16895"/>
    <x v="0"/>
    <s v="Female"/>
    <n v="40000"/>
    <n v="3"/>
    <s v="Partial College"/>
    <s v="Professional"/>
    <s v="No"/>
    <n v="2"/>
    <x v="3"/>
    <s v="North America"/>
    <n v="54"/>
    <s v="Middle Age 31-54"/>
    <x v="1"/>
  </r>
  <r>
    <n v="26728"/>
    <x v="1"/>
    <s v="Male"/>
    <n v="70000"/>
    <n v="3"/>
    <s v="Graduate Degree"/>
    <s v="Management"/>
    <s v="No"/>
    <n v="2"/>
    <x v="3"/>
    <s v="North America"/>
    <n v="53"/>
    <s v="Middle Age 31-54"/>
    <x v="1"/>
  </r>
  <r>
    <n v="11090"/>
    <x v="1"/>
    <s v="Male"/>
    <n v="90000"/>
    <n v="2"/>
    <s v="Partial College"/>
    <s v="Professional"/>
    <s v="Yes"/>
    <n v="1"/>
    <x v="1"/>
    <s v="North America"/>
    <n v="48"/>
    <s v="Middle Age 31-54"/>
    <x v="1"/>
  </r>
  <r>
    <n v="15862"/>
    <x v="1"/>
    <s v="Female"/>
    <n v="50000"/>
    <n v="0"/>
    <s v="Graduate Degree"/>
    <s v="Skilled Manual"/>
    <s v="Yes"/>
    <n v="0"/>
    <x v="3"/>
    <s v="North America"/>
    <n v="33"/>
    <s v="Middle Age 31-54"/>
    <x v="1"/>
  </r>
  <r>
    <n v="26495"/>
    <x v="1"/>
    <s v="Female"/>
    <n v="40000"/>
    <n v="2"/>
    <s v="High School"/>
    <s v="Professional"/>
    <s v="Yes"/>
    <n v="2"/>
    <x v="4"/>
    <s v="North America"/>
    <n v="57"/>
    <s v="Old 55+"/>
    <x v="0"/>
  </r>
  <r>
    <n v="11823"/>
    <x v="0"/>
    <s v="Female"/>
    <n v="70000"/>
    <n v="0"/>
    <s v="Graduate Degree"/>
    <s v="Professional"/>
    <s v="Yes"/>
    <n v="0"/>
    <x v="1"/>
    <s v="North America"/>
    <n v="39"/>
    <s v="Middle Age 31-54"/>
    <x v="0"/>
  </r>
  <r>
    <n v="23449"/>
    <x v="0"/>
    <s v="Male"/>
    <n v="60000"/>
    <n v="2"/>
    <s v="High School"/>
    <s v="Professional"/>
    <s v="Yes"/>
    <n v="2"/>
    <x v="2"/>
    <s v="North America"/>
    <n v="48"/>
    <s v="Middle Age 31-54"/>
    <x v="0"/>
  </r>
  <r>
    <n v="23459"/>
    <x v="0"/>
    <s v="Male"/>
    <n v="60000"/>
    <n v="2"/>
    <s v="High School"/>
    <s v="Professional"/>
    <s v="Yes"/>
    <n v="2"/>
    <x v="2"/>
    <s v="North America"/>
    <n v="50"/>
    <s v="Middle Age 31-54"/>
    <x v="0"/>
  </r>
  <r>
    <n v="19543"/>
    <x v="0"/>
    <s v="Male"/>
    <n v="70000"/>
    <n v="5"/>
    <s v="Graduate Degree"/>
    <s v="Professional"/>
    <s v="No"/>
    <n v="3"/>
    <x v="4"/>
    <s v="North America"/>
    <n v="47"/>
    <s v="Middle Age 31-54"/>
    <x v="0"/>
  </r>
  <r>
    <n v="14914"/>
    <x v="0"/>
    <s v="Female"/>
    <n v="40000"/>
    <n v="1"/>
    <s v="Partial College"/>
    <s v="Clerical"/>
    <s v="Yes"/>
    <n v="1"/>
    <x v="3"/>
    <s v="North America"/>
    <n v="49"/>
    <s v="Middle Age 31-54"/>
    <x v="1"/>
  </r>
  <r>
    <n v="12033"/>
    <x v="1"/>
    <s v="Female"/>
    <n v="40000"/>
    <n v="0"/>
    <s v="High School"/>
    <s v="Skilled Manual"/>
    <s v="No"/>
    <n v="2"/>
    <x v="0"/>
    <s v="North America"/>
    <n v="27"/>
    <s v="Adolescent 0-30"/>
    <x v="1"/>
  </r>
  <r>
    <n v="11941"/>
    <x v="1"/>
    <s v="Male"/>
    <n v="60000"/>
    <n v="0"/>
    <s v="Partial College"/>
    <s v="Skilled Manual"/>
    <s v="Yes"/>
    <n v="0"/>
    <x v="2"/>
    <s v="North America"/>
    <n v="29"/>
    <s v="Adolescent 0-30"/>
    <x v="0"/>
  </r>
  <r>
    <n v="14389"/>
    <x v="0"/>
    <s v="Male"/>
    <n v="60000"/>
    <n v="2"/>
    <s v="Bachelors"/>
    <s v="Management"/>
    <s v="Yes"/>
    <n v="0"/>
    <x v="1"/>
    <s v="North America"/>
    <n v="59"/>
    <s v="Old 55+"/>
    <x v="0"/>
  </r>
  <r>
    <n v="18050"/>
    <x v="0"/>
    <s v="Female"/>
    <n v="60000"/>
    <n v="1"/>
    <s v="Partial College"/>
    <s v="Skilled Manual"/>
    <s v="Yes"/>
    <n v="1"/>
    <x v="0"/>
    <s v="North America"/>
    <n v="45"/>
    <s v="Middle Age 31-54"/>
    <x v="1"/>
  </r>
  <r>
    <n v="19856"/>
    <x v="0"/>
    <s v="Female"/>
    <n v="60000"/>
    <n v="4"/>
    <s v="Bachelors"/>
    <s v="Management"/>
    <s v="Yes"/>
    <n v="2"/>
    <x v="1"/>
    <s v="North America"/>
    <n v="60"/>
    <s v="Old 55+"/>
    <x v="0"/>
  </r>
  <r>
    <n v="11663"/>
    <x v="0"/>
    <s v="Male"/>
    <n v="70000"/>
    <n v="4"/>
    <s v="Graduate Degree"/>
    <s v="Professional"/>
    <s v="Yes"/>
    <n v="0"/>
    <x v="0"/>
    <s v="North America"/>
    <n v="36"/>
    <s v="Middle Age 31-54"/>
    <x v="1"/>
  </r>
  <r>
    <n v="27740"/>
    <x v="0"/>
    <s v="Female"/>
    <n v="40000"/>
    <n v="0"/>
    <s v="High School"/>
    <s v="Skilled Manual"/>
    <s v="Yes"/>
    <n v="2"/>
    <x v="2"/>
    <s v="North America"/>
    <n v="27"/>
    <s v="Adolescent 0-30"/>
    <x v="0"/>
  </r>
  <r>
    <n v="23455"/>
    <x v="1"/>
    <s v="Male"/>
    <n v="80000"/>
    <n v="2"/>
    <s v="Partial High School"/>
    <s v="Skilled Manual"/>
    <s v="No"/>
    <n v="2"/>
    <x v="3"/>
    <s v="North America"/>
    <n v="50"/>
    <s v="Middle Age 31-54"/>
    <x v="0"/>
  </r>
  <r>
    <n v="15292"/>
    <x v="1"/>
    <s v="Female"/>
    <n v="60000"/>
    <n v="1"/>
    <s v="Graduate Degree"/>
    <s v="Skilled Manual"/>
    <s v="Yes"/>
    <n v="0"/>
    <x v="3"/>
    <s v="North America"/>
    <n v="35"/>
    <s v="Middle Age 31-54"/>
    <x v="0"/>
  </r>
  <r>
    <n v="21587"/>
    <x v="0"/>
    <s v="Female"/>
    <n v="60000"/>
    <n v="1"/>
    <s v="Graduate Degree"/>
    <s v="Skilled Manual"/>
    <s v="Yes"/>
    <n v="0"/>
    <x v="1"/>
    <s v="North America"/>
    <n v="34"/>
    <s v="Middle Age 31-54"/>
    <x v="1"/>
  </r>
  <r>
    <n v="23513"/>
    <x v="0"/>
    <s v="Female"/>
    <n v="40000"/>
    <n v="3"/>
    <s v="Partial College"/>
    <s v="Professional"/>
    <s v="Yes"/>
    <n v="2"/>
    <x v="2"/>
    <s v="North America"/>
    <n v="54"/>
    <s v="Middle Age 31-54"/>
    <x v="0"/>
  </r>
  <r>
    <n v="24322"/>
    <x v="0"/>
    <s v="Female"/>
    <n v="60000"/>
    <n v="4"/>
    <s v="Bachelors"/>
    <s v="Skilled Manual"/>
    <s v="No"/>
    <n v="2"/>
    <x v="0"/>
    <s v="North America"/>
    <n v="42"/>
    <s v="Middle Age 31-54"/>
    <x v="0"/>
  </r>
  <r>
    <n v="26298"/>
    <x v="0"/>
    <s v="Female"/>
    <n v="50000"/>
    <n v="1"/>
    <s v="Bachelors"/>
    <s v="Skilled Manual"/>
    <s v="Yes"/>
    <n v="0"/>
    <x v="1"/>
    <s v="North America"/>
    <n v="34"/>
    <s v="Middle Age 31-54"/>
    <x v="1"/>
  </r>
  <r>
    <n v="25419"/>
    <x v="1"/>
    <s v="Male"/>
    <n v="50000"/>
    <n v="2"/>
    <s v="Bachelors"/>
    <s v="Skilled Manual"/>
    <s v="No"/>
    <n v="1"/>
    <x v="0"/>
    <s v="North America"/>
    <n v="38"/>
    <s v="Middle Age 31-54"/>
    <x v="1"/>
  </r>
  <r>
    <n v="13343"/>
    <x v="0"/>
    <s v="Female"/>
    <n v="90000"/>
    <n v="5"/>
    <s v="Bachelors"/>
    <s v="Management"/>
    <s v="Yes"/>
    <n v="2"/>
    <x v="3"/>
    <s v="North America"/>
    <n v="63"/>
    <s v="Old 55+"/>
    <x v="1"/>
  </r>
  <r>
    <n v="11303"/>
    <x v="1"/>
    <s v="Female"/>
    <n v="90000"/>
    <n v="4"/>
    <s v="High School"/>
    <s v="Professional"/>
    <s v="No"/>
    <n v="3"/>
    <x v="3"/>
    <s v="North America"/>
    <n v="45"/>
    <s v="Middle Age 31-54"/>
    <x v="1"/>
  </r>
  <r>
    <n v="21693"/>
    <x v="1"/>
    <s v="Female"/>
    <n v="60000"/>
    <n v="0"/>
    <s v="Graduate Degree"/>
    <s v="Skilled Manual"/>
    <s v="No"/>
    <n v="0"/>
    <x v="0"/>
    <s v="North America"/>
    <n v="40"/>
    <s v="Middle Age 31-54"/>
    <x v="0"/>
  </r>
  <r>
    <n v="28056"/>
    <x v="0"/>
    <s v="Male"/>
    <n v="70000"/>
    <n v="2"/>
    <s v="Partial High School"/>
    <s v="Skilled Manual"/>
    <s v="Yes"/>
    <n v="2"/>
    <x v="4"/>
    <s v="North America"/>
    <n v="53"/>
    <s v="Middle Age 31-54"/>
    <x v="0"/>
  </r>
  <r>
    <n v="11788"/>
    <x v="1"/>
    <s v="Female"/>
    <n v="70000"/>
    <n v="1"/>
    <s v="Graduate Degree"/>
    <s v="Professional"/>
    <s v="Yes"/>
    <n v="0"/>
    <x v="1"/>
    <s v="North America"/>
    <n v="34"/>
    <s v="Middle Age 31-54"/>
    <x v="0"/>
  </r>
  <r>
    <n v="22296"/>
    <x v="0"/>
    <s v="Male"/>
    <n v="70000"/>
    <n v="0"/>
    <s v="Bachelors"/>
    <s v="Professional"/>
    <s v="No"/>
    <n v="1"/>
    <x v="0"/>
    <s v="North America"/>
    <n v="38"/>
    <s v="Middle Age 31-54"/>
    <x v="0"/>
  </r>
  <r>
    <n v="15319"/>
    <x v="0"/>
    <s v="Female"/>
    <n v="70000"/>
    <n v="4"/>
    <s v="Bachelors"/>
    <s v="Management"/>
    <s v="No"/>
    <n v="1"/>
    <x v="3"/>
    <s v="North America"/>
    <n v="59"/>
    <s v="Old 55+"/>
    <x v="0"/>
  </r>
  <r>
    <n v="17654"/>
    <x v="1"/>
    <s v="Female"/>
    <n v="40000"/>
    <n v="3"/>
    <s v="Partial College"/>
    <s v="Clerical"/>
    <s v="Yes"/>
    <n v="1"/>
    <x v="3"/>
    <s v="North America"/>
    <n v="30"/>
    <s v="Adolescent 0-30"/>
    <x v="1"/>
  </r>
  <r>
    <n v="14662"/>
    <x v="0"/>
    <s v="Male"/>
    <n v="60000"/>
    <n v="1"/>
    <s v="Bachelors"/>
    <s v="Professional"/>
    <s v="Yes"/>
    <n v="1"/>
    <x v="0"/>
    <s v="North America"/>
    <n v="48"/>
    <s v="Middle Age 31-54"/>
    <x v="1"/>
  </r>
  <r>
    <n v="17541"/>
    <x v="0"/>
    <s v="Female"/>
    <n v="40000"/>
    <n v="4"/>
    <s v="High School"/>
    <s v="Skilled Manual"/>
    <s v="Yes"/>
    <n v="2"/>
    <x v="1"/>
    <s v="North America"/>
    <n v="43"/>
    <s v="Middle Age 31-54"/>
    <x v="0"/>
  </r>
  <r>
    <n v="13886"/>
    <x v="0"/>
    <s v="Female"/>
    <n v="70000"/>
    <n v="4"/>
    <s v="Graduate Degree"/>
    <s v="Professional"/>
    <s v="Yes"/>
    <n v="0"/>
    <x v="1"/>
    <s v="North America"/>
    <n v="35"/>
    <s v="Middle Age 31-54"/>
    <x v="1"/>
  </r>
  <r>
    <n v="13073"/>
    <x v="0"/>
    <s v="Female"/>
    <n v="60000"/>
    <n v="0"/>
    <s v="Partial College"/>
    <s v="Professional"/>
    <s v="Yes"/>
    <n v="2"/>
    <x v="2"/>
    <s v="North America"/>
    <n v="30"/>
    <s v="Adolescent 0-3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22046-2C8F-1844-A5D9-94DAA210E14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98:H14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3"/>
    </i>
    <i>
      <x v="34"/>
    </i>
    <i>
      <x v="35"/>
    </i>
    <i>
      <x v="36"/>
    </i>
    <i>
      <x v="37"/>
    </i>
    <i>
      <x v="38"/>
    </i>
    <i>
      <x v="40"/>
    </i>
    <i>
      <x v="41"/>
    </i>
    <i>
      <x v="42"/>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48165-36BA-E741-A31E-D597A3E50FBA}"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76:H81"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7816B9-3363-564C-9262-D9879FC6F9B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7:H54"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E62C4-9565-EB40-B98D-87153F9EB249}"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7:H31"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8">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A2D8A9-8E25-5246-8518-224375B02719}" sourceName="Marital Status">
  <pivotTables>
    <pivotTable tabId="3" name="PivotTable3"/>
    <pivotTable tabId="3" name="PivotTable1"/>
    <pivotTable tabId="3" name="PivotTable7"/>
  </pivotTables>
  <data>
    <tabular pivotCacheId="48504401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8756C8-17C6-534F-AD41-A2563A626E4B}" sourceName="Education">
  <pivotTables>
    <pivotTable tabId="3" name="PivotTable3"/>
    <pivotTable tabId="3" name="PivotTable1"/>
    <pivotTable tabId="3" name="PivotTable7"/>
  </pivotTables>
  <data>
    <tabular pivotCacheId="48504401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F85C1F-8AC4-CF4D-A4AE-E0593DF7F8EC}" sourceName="Region">
  <pivotTables>
    <pivotTable tabId="3" name="PivotTable3"/>
    <pivotTable tabId="3" name="PivotTable1"/>
    <pivotTable tabId="3" name="PivotTable7"/>
  </pivotTables>
  <data>
    <tabular pivotCacheId="48504401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4073DDF-8375-9042-ABAC-1471D1E2A014}" cache="Slicer_Marital_Status" caption="Marital Status" rowHeight="230716"/>
  <slicer name="Education" xr10:uid="{721F2CA8-2EF2-DA48-B688-856D48BA4FB3}" cache="Slicer_Education" caption="Education" rowHeight="230716"/>
  <slicer name="Region" xr10:uid="{CD5C802B-136F-3841-B8E9-5C30EE9AC5E5}"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40" sqref="A1:M10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8CD3-3E63-4A43-8983-22D525919545}">
  <dimension ref="A1:N1001"/>
  <sheetViews>
    <sheetView workbookViewId="0">
      <selection activeCell="M13" sqref="M13"/>
    </sheetView>
  </sheetViews>
  <sheetFormatPr baseColWidth="10" defaultRowHeight="15" x14ac:dyDescent="0.2"/>
  <cols>
    <col min="4" max="4" width="11.1640625" style="3" bestFit="1" customWidth="1"/>
    <col min="13" max="13" width="27.33203125" customWidth="1"/>
  </cols>
  <sheetData>
    <row r="1" spans="1:14" x14ac:dyDescent="0.2">
      <c r="A1" t="s">
        <v>41</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cm="1">
        <f t="array" ref="M2">_xlfn.IFS(L2&lt;31, "Adolescent 0-30",L2&lt;=54,"Middle Age 31-54",L2&gt;=55,"Old 55+")</f>
        <v>Middle Age 31-54</v>
      </c>
      <c r="N2" t="s">
        <v>18</v>
      </c>
    </row>
    <row r="3" spans="1:14" x14ac:dyDescent="0.2">
      <c r="A3">
        <v>24107</v>
      </c>
      <c r="B3" t="s">
        <v>36</v>
      </c>
      <c r="C3" t="s">
        <v>38</v>
      </c>
      <c r="D3" s="3">
        <v>30000</v>
      </c>
      <c r="E3">
        <v>3</v>
      </c>
      <c r="F3" t="s">
        <v>19</v>
      </c>
      <c r="G3" t="s">
        <v>20</v>
      </c>
      <c r="H3" t="s">
        <v>15</v>
      </c>
      <c r="I3">
        <v>1</v>
      </c>
      <c r="J3" t="s">
        <v>16</v>
      </c>
      <c r="K3" t="s">
        <v>17</v>
      </c>
      <c r="L3">
        <v>43</v>
      </c>
      <c r="M3" t="str" cm="1">
        <f t="array" ref="M3">_xlfn.IFS(L3&lt;31, "Adolescent 0-30",L3&lt;=54,"Middle Age 31-54",L3&gt;=55,"Old 55+")</f>
        <v>Middle Age 31-54</v>
      </c>
      <c r="N3" t="s">
        <v>18</v>
      </c>
    </row>
    <row r="4" spans="1:14" x14ac:dyDescent="0.2">
      <c r="A4">
        <v>14177</v>
      </c>
      <c r="B4" t="s">
        <v>36</v>
      </c>
      <c r="C4" t="s">
        <v>38</v>
      </c>
      <c r="D4" s="3">
        <v>80000</v>
      </c>
      <c r="E4">
        <v>5</v>
      </c>
      <c r="F4" t="s">
        <v>19</v>
      </c>
      <c r="G4" t="s">
        <v>21</v>
      </c>
      <c r="H4" t="s">
        <v>18</v>
      </c>
      <c r="I4">
        <v>2</v>
      </c>
      <c r="J4" t="s">
        <v>22</v>
      </c>
      <c r="K4" t="s">
        <v>17</v>
      </c>
      <c r="L4">
        <v>60</v>
      </c>
      <c r="M4" t="str" cm="1">
        <f t="array" ref="M4">_xlfn.IFS(L4&lt;31, "Adolescent 0-30",L4&lt;=54,"Middle Age 31-54",L4&gt;=55,"Old 55+")</f>
        <v>Old 55+</v>
      </c>
      <c r="N4" t="s">
        <v>18</v>
      </c>
    </row>
    <row r="5" spans="1:14" x14ac:dyDescent="0.2">
      <c r="A5">
        <v>24381</v>
      </c>
      <c r="B5" t="s">
        <v>37</v>
      </c>
      <c r="C5" t="s">
        <v>38</v>
      </c>
      <c r="D5" s="3">
        <v>70000</v>
      </c>
      <c r="E5">
        <v>0</v>
      </c>
      <c r="F5" t="s">
        <v>13</v>
      </c>
      <c r="G5" t="s">
        <v>21</v>
      </c>
      <c r="H5" t="s">
        <v>15</v>
      </c>
      <c r="I5">
        <v>1</v>
      </c>
      <c r="J5" t="s">
        <v>23</v>
      </c>
      <c r="K5" t="s">
        <v>24</v>
      </c>
      <c r="L5">
        <v>41</v>
      </c>
      <c r="M5" t="str" cm="1">
        <f t="array" ref="M5">_xlfn.IFS(L5&lt;31, "Adolescent 0-30",L5&lt;=54,"Middle Age 31-54",L5&gt;=55,"Old 55+")</f>
        <v>Middle Age 31-54</v>
      </c>
      <c r="N5" t="s">
        <v>15</v>
      </c>
    </row>
    <row r="6" spans="1:14" x14ac:dyDescent="0.2">
      <c r="A6">
        <v>25597</v>
      </c>
      <c r="B6" t="s">
        <v>37</v>
      </c>
      <c r="C6" t="s">
        <v>38</v>
      </c>
      <c r="D6" s="3">
        <v>30000</v>
      </c>
      <c r="E6">
        <v>0</v>
      </c>
      <c r="F6" t="s">
        <v>13</v>
      </c>
      <c r="G6" t="s">
        <v>20</v>
      </c>
      <c r="H6" t="s">
        <v>18</v>
      </c>
      <c r="I6">
        <v>0</v>
      </c>
      <c r="J6" t="s">
        <v>16</v>
      </c>
      <c r="K6" t="s">
        <v>17</v>
      </c>
      <c r="L6">
        <v>36</v>
      </c>
      <c r="M6" t="str" cm="1">
        <f t="array" ref="M6">_xlfn.IFS(L6&lt;31, "Adolescent 0-30",L6&lt;=54,"Middle Age 31-54",L6&gt;=55,"Old 55+")</f>
        <v>Middle Age 31-54</v>
      </c>
      <c r="N6" t="s">
        <v>15</v>
      </c>
    </row>
    <row r="7" spans="1:14" x14ac:dyDescent="0.2">
      <c r="A7">
        <v>13507</v>
      </c>
      <c r="B7" t="s">
        <v>36</v>
      </c>
      <c r="C7" t="s">
        <v>39</v>
      </c>
      <c r="D7" s="3">
        <v>10000</v>
      </c>
      <c r="E7">
        <v>2</v>
      </c>
      <c r="F7" t="s">
        <v>19</v>
      </c>
      <c r="G7" t="s">
        <v>25</v>
      </c>
      <c r="H7" t="s">
        <v>15</v>
      </c>
      <c r="I7">
        <v>0</v>
      </c>
      <c r="J7" t="s">
        <v>26</v>
      </c>
      <c r="K7" t="s">
        <v>17</v>
      </c>
      <c r="L7">
        <v>50</v>
      </c>
      <c r="M7" t="str" cm="1">
        <f t="array" ref="M7">_xlfn.IFS(L7&lt;31, "Adolescent 0-30",L7&lt;=54,"Middle Age 31-54",L7&gt;=55,"Old 55+")</f>
        <v>Middle Age 31-54</v>
      </c>
      <c r="N7" t="s">
        <v>18</v>
      </c>
    </row>
    <row r="8" spans="1:14" x14ac:dyDescent="0.2">
      <c r="A8">
        <v>27974</v>
      </c>
      <c r="B8" t="s">
        <v>37</v>
      </c>
      <c r="C8" t="s">
        <v>38</v>
      </c>
      <c r="D8" s="3">
        <v>160000</v>
      </c>
      <c r="E8">
        <v>2</v>
      </c>
      <c r="F8" t="s">
        <v>27</v>
      </c>
      <c r="G8" t="s">
        <v>28</v>
      </c>
      <c r="H8" t="s">
        <v>15</v>
      </c>
      <c r="I8">
        <v>4</v>
      </c>
      <c r="J8" t="s">
        <v>16</v>
      </c>
      <c r="K8" t="s">
        <v>24</v>
      </c>
      <c r="L8">
        <v>33</v>
      </c>
      <c r="M8" t="str" cm="1">
        <f t="array" ref="M8">_xlfn.IFS(L8&lt;31, "Adolescent 0-30",L8&lt;=54,"Middle Age 31-54",L8&gt;=55,"Old 55+")</f>
        <v>Middle Age 31-54</v>
      </c>
      <c r="N8" t="s">
        <v>15</v>
      </c>
    </row>
    <row r="9" spans="1:14" x14ac:dyDescent="0.2">
      <c r="A9">
        <v>19364</v>
      </c>
      <c r="B9" t="s">
        <v>36</v>
      </c>
      <c r="C9" t="s">
        <v>38</v>
      </c>
      <c r="D9" s="3">
        <v>40000</v>
      </c>
      <c r="E9">
        <v>1</v>
      </c>
      <c r="F9" t="s">
        <v>13</v>
      </c>
      <c r="G9" t="s">
        <v>14</v>
      </c>
      <c r="H9" t="s">
        <v>15</v>
      </c>
      <c r="I9">
        <v>0</v>
      </c>
      <c r="J9" t="s">
        <v>16</v>
      </c>
      <c r="K9" t="s">
        <v>17</v>
      </c>
      <c r="L9">
        <v>43</v>
      </c>
      <c r="M9" t="str" cm="1">
        <f t="array" ref="M9">_xlfn.IFS(L9&lt;31, "Adolescent 0-30",L9&lt;=54,"Middle Age 31-54",L9&gt;=55,"Old 55+")</f>
        <v>Middle Age 31-54</v>
      </c>
      <c r="N9" t="s">
        <v>15</v>
      </c>
    </row>
    <row r="10" spans="1:14" x14ac:dyDescent="0.2">
      <c r="A10">
        <v>22155</v>
      </c>
      <c r="B10" t="s">
        <v>36</v>
      </c>
      <c r="C10" t="s">
        <v>38</v>
      </c>
      <c r="D10" s="3">
        <v>20000</v>
      </c>
      <c r="E10">
        <v>2</v>
      </c>
      <c r="F10" t="s">
        <v>29</v>
      </c>
      <c r="G10" t="s">
        <v>20</v>
      </c>
      <c r="H10" t="s">
        <v>15</v>
      </c>
      <c r="I10">
        <v>2</v>
      </c>
      <c r="J10" t="s">
        <v>23</v>
      </c>
      <c r="K10" t="s">
        <v>24</v>
      </c>
      <c r="L10">
        <v>58</v>
      </c>
      <c r="M10" t="str" cm="1">
        <f t="array" ref="M10">_xlfn.IFS(L10&lt;31, "Adolescent 0-30",L10&lt;=54,"Middle Age 31-54",L10&gt;=55,"Old 55+")</f>
        <v>Old 55+</v>
      </c>
      <c r="N10" t="s">
        <v>18</v>
      </c>
    </row>
    <row r="11" spans="1:14" x14ac:dyDescent="0.2">
      <c r="A11">
        <v>19280</v>
      </c>
      <c r="B11" t="s">
        <v>36</v>
      </c>
      <c r="C11" t="s">
        <v>38</v>
      </c>
      <c r="D11" s="3">
        <v>120000</v>
      </c>
      <c r="E11">
        <v>2</v>
      </c>
      <c r="F11" t="s">
        <v>19</v>
      </c>
      <c r="G11" t="s">
        <v>25</v>
      </c>
      <c r="H11" t="s">
        <v>15</v>
      </c>
      <c r="I11">
        <v>1</v>
      </c>
      <c r="J11" t="s">
        <v>16</v>
      </c>
      <c r="K11" t="s">
        <v>17</v>
      </c>
      <c r="L11">
        <v>40</v>
      </c>
      <c r="M11" t="str" cm="1">
        <f t="array" ref="M11">_xlfn.IFS(L11&lt;31, "Adolescent 0-30",L11&lt;=54,"Middle Age 31-54",L11&gt;=55,"Old 55+")</f>
        <v>Middle Age 31-54</v>
      </c>
      <c r="N11" t="s">
        <v>15</v>
      </c>
    </row>
    <row r="12" spans="1:14" x14ac:dyDescent="0.2">
      <c r="A12">
        <v>22173</v>
      </c>
      <c r="B12" t="s">
        <v>36</v>
      </c>
      <c r="C12" t="s">
        <v>39</v>
      </c>
      <c r="D12" s="3">
        <v>30000</v>
      </c>
      <c r="E12">
        <v>3</v>
      </c>
      <c r="F12" t="s">
        <v>27</v>
      </c>
      <c r="G12" t="s">
        <v>14</v>
      </c>
      <c r="H12" t="s">
        <v>18</v>
      </c>
      <c r="I12">
        <v>2</v>
      </c>
      <c r="J12" t="s">
        <v>26</v>
      </c>
      <c r="K12" t="s">
        <v>24</v>
      </c>
      <c r="L12">
        <v>54</v>
      </c>
      <c r="M12" t="str" cm="1">
        <f t="array" ref="M12">_xlfn.IFS(L12&lt;31, "Adolescent 0-30",L12&lt;=54,"Middle Age 31-54",L12&gt;=55,"Old 55+")</f>
        <v>Middle Age 31-54</v>
      </c>
      <c r="N12" t="s">
        <v>15</v>
      </c>
    </row>
    <row r="13" spans="1:14" x14ac:dyDescent="0.2">
      <c r="A13">
        <v>12697</v>
      </c>
      <c r="B13" t="s">
        <v>37</v>
      </c>
      <c r="C13" t="s">
        <v>39</v>
      </c>
      <c r="D13" s="3">
        <v>90000</v>
      </c>
      <c r="E13">
        <v>0</v>
      </c>
      <c r="F13" t="s">
        <v>13</v>
      </c>
      <c r="G13" t="s">
        <v>21</v>
      </c>
      <c r="H13" t="s">
        <v>18</v>
      </c>
      <c r="I13">
        <v>4</v>
      </c>
      <c r="J13" t="s">
        <v>47</v>
      </c>
      <c r="K13" t="s">
        <v>24</v>
      </c>
      <c r="L13">
        <v>36</v>
      </c>
      <c r="M13" t="str" cm="1">
        <f t="array" ref="M13">_xlfn.IFS(L13&lt;31, "Adolescent 0-30",L13&lt;=54,"Middle Age 31-54",L13&gt;=55,"Old 55+")</f>
        <v>Middle Age 31-54</v>
      </c>
      <c r="N13" t="s">
        <v>18</v>
      </c>
    </row>
    <row r="14" spans="1:14" x14ac:dyDescent="0.2">
      <c r="A14">
        <v>11434</v>
      </c>
      <c r="B14" t="s">
        <v>36</v>
      </c>
      <c r="C14" t="s">
        <v>38</v>
      </c>
      <c r="D14" s="3">
        <v>170000</v>
      </c>
      <c r="E14">
        <v>5</v>
      </c>
      <c r="F14" t="s">
        <v>19</v>
      </c>
      <c r="G14" t="s">
        <v>21</v>
      </c>
      <c r="H14" t="s">
        <v>15</v>
      </c>
      <c r="I14">
        <v>0</v>
      </c>
      <c r="J14" t="s">
        <v>16</v>
      </c>
      <c r="K14" t="s">
        <v>17</v>
      </c>
      <c r="L14">
        <v>55</v>
      </c>
      <c r="M14" t="str" cm="1">
        <f t="array" ref="M14">_xlfn.IFS(L14&lt;31, "Adolescent 0-30",L14&lt;=54,"Middle Age 31-54",L14&gt;=55,"Old 55+")</f>
        <v>Old 55+</v>
      </c>
      <c r="N14" t="s">
        <v>18</v>
      </c>
    </row>
    <row r="15" spans="1:14" x14ac:dyDescent="0.2">
      <c r="A15">
        <v>25323</v>
      </c>
      <c r="B15" t="s">
        <v>36</v>
      </c>
      <c r="C15" t="s">
        <v>38</v>
      </c>
      <c r="D15" s="3">
        <v>40000</v>
      </c>
      <c r="E15">
        <v>2</v>
      </c>
      <c r="F15" t="s">
        <v>19</v>
      </c>
      <c r="G15" t="s">
        <v>20</v>
      </c>
      <c r="H15" t="s">
        <v>15</v>
      </c>
      <c r="I15">
        <v>1</v>
      </c>
      <c r="J15" t="s">
        <v>26</v>
      </c>
      <c r="K15" t="s">
        <v>17</v>
      </c>
      <c r="L15">
        <v>35</v>
      </c>
      <c r="M15" t="str" cm="1">
        <f t="array" ref="M15">_xlfn.IFS(L15&lt;31, "Adolescent 0-30",L15&lt;=54,"Middle Age 31-54",L15&gt;=55,"Old 55+")</f>
        <v>Middle Age 31-54</v>
      </c>
      <c r="N15" t="s">
        <v>15</v>
      </c>
    </row>
    <row r="16" spans="1:14" x14ac:dyDescent="0.2">
      <c r="A16">
        <v>23542</v>
      </c>
      <c r="B16" t="s">
        <v>37</v>
      </c>
      <c r="C16" t="s">
        <v>38</v>
      </c>
      <c r="D16" s="3">
        <v>60000</v>
      </c>
      <c r="E16">
        <v>1</v>
      </c>
      <c r="F16" t="s">
        <v>19</v>
      </c>
      <c r="G16" t="s">
        <v>14</v>
      </c>
      <c r="H16" t="s">
        <v>18</v>
      </c>
      <c r="I16">
        <v>1</v>
      </c>
      <c r="J16" t="s">
        <v>16</v>
      </c>
      <c r="K16" t="s">
        <v>24</v>
      </c>
      <c r="L16">
        <v>45</v>
      </c>
      <c r="M16" t="str" cm="1">
        <f t="array" ref="M16">_xlfn.IFS(L16&lt;31, "Adolescent 0-30",L16&lt;=54,"Middle Age 31-54",L16&gt;=55,"Old 55+")</f>
        <v>Middle Age 31-54</v>
      </c>
      <c r="N16" t="s">
        <v>15</v>
      </c>
    </row>
    <row r="17" spans="1:14" x14ac:dyDescent="0.2">
      <c r="A17">
        <v>20870</v>
      </c>
      <c r="B17" t="s">
        <v>37</v>
      </c>
      <c r="C17" t="s">
        <v>39</v>
      </c>
      <c r="D17" s="3">
        <v>10000</v>
      </c>
      <c r="E17">
        <v>2</v>
      </c>
      <c r="F17" t="s">
        <v>27</v>
      </c>
      <c r="G17" t="s">
        <v>25</v>
      </c>
      <c r="H17" t="s">
        <v>15</v>
      </c>
      <c r="I17">
        <v>1</v>
      </c>
      <c r="J17" t="s">
        <v>16</v>
      </c>
      <c r="K17" t="s">
        <v>17</v>
      </c>
      <c r="L17">
        <v>38</v>
      </c>
      <c r="M17" t="str" cm="1">
        <f t="array" ref="M17">_xlfn.IFS(L17&lt;31, "Adolescent 0-30",L17&lt;=54,"Middle Age 31-54",L17&gt;=55,"Old 55+")</f>
        <v>Middle Age 31-54</v>
      </c>
      <c r="N17" t="s">
        <v>15</v>
      </c>
    </row>
    <row r="18" spans="1:14" x14ac:dyDescent="0.2">
      <c r="A18">
        <v>23316</v>
      </c>
      <c r="B18" t="s">
        <v>37</v>
      </c>
      <c r="C18" t="s">
        <v>38</v>
      </c>
      <c r="D18" s="3">
        <v>30000</v>
      </c>
      <c r="E18">
        <v>3</v>
      </c>
      <c r="F18" t="s">
        <v>19</v>
      </c>
      <c r="G18" t="s">
        <v>20</v>
      </c>
      <c r="H18" t="s">
        <v>18</v>
      </c>
      <c r="I18">
        <v>2</v>
      </c>
      <c r="J18" t="s">
        <v>26</v>
      </c>
      <c r="K18" t="s">
        <v>24</v>
      </c>
      <c r="L18">
        <v>59</v>
      </c>
      <c r="M18" t="str" cm="1">
        <f t="array" ref="M18">_xlfn.IFS(L18&lt;31, "Adolescent 0-30",L18&lt;=54,"Middle Age 31-54",L18&gt;=55,"Old 55+")</f>
        <v>Old 55+</v>
      </c>
      <c r="N18" t="s">
        <v>15</v>
      </c>
    </row>
    <row r="19" spans="1:14" x14ac:dyDescent="0.2">
      <c r="A19">
        <v>12610</v>
      </c>
      <c r="B19" t="s">
        <v>36</v>
      </c>
      <c r="C19" t="s">
        <v>39</v>
      </c>
      <c r="D19" s="3">
        <v>30000</v>
      </c>
      <c r="E19">
        <v>1</v>
      </c>
      <c r="F19" t="s">
        <v>13</v>
      </c>
      <c r="G19" t="s">
        <v>20</v>
      </c>
      <c r="H19" t="s">
        <v>15</v>
      </c>
      <c r="I19">
        <v>0</v>
      </c>
      <c r="J19" t="s">
        <v>16</v>
      </c>
      <c r="K19" t="s">
        <v>17</v>
      </c>
      <c r="L19">
        <v>47</v>
      </c>
      <c r="M19" t="str" cm="1">
        <f t="array" ref="M19">_xlfn.IFS(L19&lt;31, "Adolescent 0-30",L19&lt;=54,"Middle Age 31-54",L19&gt;=55,"Old 55+")</f>
        <v>Middle Age 31-54</v>
      </c>
      <c r="N19" t="s">
        <v>18</v>
      </c>
    </row>
    <row r="20" spans="1:14" x14ac:dyDescent="0.2">
      <c r="A20">
        <v>27183</v>
      </c>
      <c r="B20" t="s">
        <v>37</v>
      </c>
      <c r="C20" t="s">
        <v>38</v>
      </c>
      <c r="D20" s="3">
        <v>40000</v>
      </c>
      <c r="E20">
        <v>2</v>
      </c>
      <c r="F20" t="s">
        <v>19</v>
      </c>
      <c r="G20" t="s">
        <v>20</v>
      </c>
      <c r="H20" t="s">
        <v>15</v>
      </c>
      <c r="I20">
        <v>1</v>
      </c>
      <c r="J20" t="s">
        <v>26</v>
      </c>
      <c r="K20" t="s">
        <v>17</v>
      </c>
      <c r="L20">
        <v>35</v>
      </c>
      <c r="M20" t="str" cm="1">
        <f t="array" ref="M20">_xlfn.IFS(L20&lt;31, "Adolescent 0-30",L20&lt;=54,"Middle Age 31-54",L20&gt;=55,"Old 55+")</f>
        <v>Middle Age 31-54</v>
      </c>
      <c r="N20" t="s">
        <v>15</v>
      </c>
    </row>
    <row r="21" spans="1:14" x14ac:dyDescent="0.2">
      <c r="A21">
        <v>25940</v>
      </c>
      <c r="B21" t="s">
        <v>37</v>
      </c>
      <c r="C21" t="s">
        <v>38</v>
      </c>
      <c r="D21" s="3">
        <v>20000</v>
      </c>
      <c r="E21">
        <v>2</v>
      </c>
      <c r="F21" t="s">
        <v>29</v>
      </c>
      <c r="G21" t="s">
        <v>20</v>
      </c>
      <c r="H21" t="s">
        <v>15</v>
      </c>
      <c r="I21">
        <v>2</v>
      </c>
      <c r="J21" t="s">
        <v>23</v>
      </c>
      <c r="K21" t="s">
        <v>24</v>
      </c>
      <c r="L21">
        <v>55</v>
      </c>
      <c r="M21" t="str" cm="1">
        <f t="array" ref="M21">_xlfn.IFS(L21&lt;31, "Adolescent 0-30",L21&lt;=54,"Middle Age 31-54",L21&gt;=55,"Old 55+")</f>
        <v>Old 55+</v>
      </c>
      <c r="N21" t="s">
        <v>15</v>
      </c>
    </row>
    <row r="22" spans="1:14" x14ac:dyDescent="0.2">
      <c r="A22">
        <v>25598</v>
      </c>
      <c r="B22" t="s">
        <v>36</v>
      </c>
      <c r="C22" t="s">
        <v>39</v>
      </c>
      <c r="D22" s="3">
        <v>40000</v>
      </c>
      <c r="E22">
        <v>0</v>
      </c>
      <c r="F22" t="s">
        <v>31</v>
      </c>
      <c r="G22" t="s">
        <v>20</v>
      </c>
      <c r="H22" t="s">
        <v>15</v>
      </c>
      <c r="I22">
        <v>0</v>
      </c>
      <c r="J22" t="s">
        <v>16</v>
      </c>
      <c r="K22" t="s">
        <v>17</v>
      </c>
      <c r="L22">
        <v>36</v>
      </c>
      <c r="M22" t="str" cm="1">
        <f t="array" ref="M22">_xlfn.IFS(L22&lt;31, "Adolescent 0-30",L22&lt;=54,"Middle Age 31-54",L22&gt;=55,"Old 55+")</f>
        <v>Middle Age 31-54</v>
      </c>
      <c r="N22" t="s">
        <v>15</v>
      </c>
    </row>
    <row r="23" spans="1:14" x14ac:dyDescent="0.2">
      <c r="A23">
        <v>21564</v>
      </c>
      <c r="B23" t="s">
        <v>37</v>
      </c>
      <c r="C23" t="s">
        <v>39</v>
      </c>
      <c r="D23" s="3">
        <v>80000</v>
      </c>
      <c r="E23">
        <v>0</v>
      </c>
      <c r="F23" t="s">
        <v>13</v>
      </c>
      <c r="G23" t="s">
        <v>21</v>
      </c>
      <c r="H23" t="s">
        <v>15</v>
      </c>
      <c r="I23">
        <v>4</v>
      </c>
      <c r="J23" t="s">
        <v>47</v>
      </c>
      <c r="K23" t="s">
        <v>24</v>
      </c>
      <c r="L23">
        <v>35</v>
      </c>
      <c r="M23" t="str" cm="1">
        <f t="array" ref="M23">_xlfn.IFS(L23&lt;31, "Adolescent 0-30",L23&lt;=54,"Middle Age 31-54",L23&gt;=55,"Old 55+")</f>
        <v>Middle Age 31-54</v>
      </c>
      <c r="N23" t="s">
        <v>18</v>
      </c>
    </row>
    <row r="24" spans="1:14" x14ac:dyDescent="0.2">
      <c r="A24">
        <v>19193</v>
      </c>
      <c r="B24" t="s">
        <v>37</v>
      </c>
      <c r="C24" t="s">
        <v>38</v>
      </c>
      <c r="D24" s="3">
        <v>40000</v>
      </c>
      <c r="E24">
        <v>2</v>
      </c>
      <c r="F24" t="s">
        <v>19</v>
      </c>
      <c r="G24" t="s">
        <v>20</v>
      </c>
      <c r="H24" t="s">
        <v>15</v>
      </c>
      <c r="I24">
        <v>0</v>
      </c>
      <c r="J24" t="s">
        <v>26</v>
      </c>
      <c r="K24" t="s">
        <v>17</v>
      </c>
      <c r="L24">
        <v>35</v>
      </c>
      <c r="M24" t="str" cm="1">
        <f t="array" ref="M24">_xlfn.IFS(L24&lt;31, "Adolescent 0-30",L24&lt;=54,"Middle Age 31-54",L24&gt;=55,"Old 55+")</f>
        <v>Middle Age 31-54</v>
      </c>
      <c r="N24" t="s">
        <v>15</v>
      </c>
    </row>
    <row r="25" spans="1:14" x14ac:dyDescent="0.2">
      <c r="A25">
        <v>26412</v>
      </c>
      <c r="B25" t="s">
        <v>36</v>
      </c>
      <c r="C25" t="s">
        <v>39</v>
      </c>
      <c r="D25" s="3">
        <v>80000</v>
      </c>
      <c r="E25">
        <v>5</v>
      </c>
      <c r="F25" t="s">
        <v>27</v>
      </c>
      <c r="G25" t="s">
        <v>28</v>
      </c>
      <c r="H25" t="s">
        <v>18</v>
      </c>
      <c r="I25">
        <v>3</v>
      </c>
      <c r="J25" t="s">
        <v>23</v>
      </c>
      <c r="K25" t="s">
        <v>17</v>
      </c>
      <c r="L25">
        <v>56</v>
      </c>
      <c r="M25" t="str" cm="1">
        <f t="array" ref="M25">_xlfn.IFS(L25&lt;31, "Adolescent 0-30",L25&lt;=54,"Middle Age 31-54",L25&gt;=55,"Old 55+")</f>
        <v>Old 55+</v>
      </c>
      <c r="N25" t="s">
        <v>18</v>
      </c>
    </row>
    <row r="26" spans="1:14" x14ac:dyDescent="0.2">
      <c r="A26">
        <v>27184</v>
      </c>
      <c r="B26" t="s">
        <v>37</v>
      </c>
      <c r="C26" t="s">
        <v>38</v>
      </c>
      <c r="D26" s="3">
        <v>40000</v>
      </c>
      <c r="E26">
        <v>2</v>
      </c>
      <c r="F26" t="s">
        <v>19</v>
      </c>
      <c r="G26" t="s">
        <v>20</v>
      </c>
      <c r="H26" t="s">
        <v>18</v>
      </c>
      <c r="I26">
        <v>1</v>
      </c>
      <c r="J26" t="s">
        <v>16</v>
      </c>
      <c r="K26" t="s">
        <v>17</v>
      </c>
      <c r="L26">
        <v>34</v>
      </c>
      <c r="M26" t="str" cm="1">
        <f t="array" ref="M26">_xlfn.IFS(L26&lt;31, "Adolescent 0-30",L26&lt;=54,"Middle Age 31-54",L26&gt;=55,"Old 55+")</f>
        <v>Middle Age 31-54</v>
      </c>
      <c r="N26" t="s">
        <v>18</v>
      </c>
    </row>
    <row r="27" spans="1:14" x14ac:dyDescent="0.2">
      <c r="A27">
        <v>12590</v>
      </c>
      <c r="B27" t="s">
        <v>37</v>
      </c>
      <c r="C27" t="s">
        <v>38</v>
      </c>
      <c r="D27" s="3">
        <v>30000</v>
      </c>
      <c r="E27">
        <v>1</v>
      </c>
      <c r="F27" t="s">
        <v>13</v>
      </c>
      <c r="G27" t="s">
        <v>20</v>
      </c>
      <c r="H27" t="s">
        <v>15</v>
      </c>
      <c r="I27">
        <v>0</v>
      </c>
      <c r="J27" t="s">
        <v>16</v>
      </c>
      <c r="K27" t="s">
        <v>17</v>
      </c>
      <c r="L27">
        <v>63</v>
      </c>
      <c r="M27" t="str" cm="1">
        <f t="array" ref="M27">_xlfn.IFS(L27&lt;31, "Adolescent 0-30",L27&lt;=54,"Middle Age 31-54",L27&gt;=55,"Old 55+")</f>
        <v>Old 55+</v>
      </c>
      <c r="N27" t="s">
        <v>18</v>
      </c>
    </row>
    <row r="28" spans="1:14" x14ac:dyDescent="0.2">
      <c r="A28">
        <v>17841</v>
      </c>
      <c r="B28" t="s">
        <v>37</v>
      </c>
      <c r="C28" t="s">
        <v>38</v>
      </c>
      <c r="D28" s="3">
        <v>30000</v>
      </c>
      <c r="E28">
        <v>0</v>
      </c>
      <c r="F28" t="s">
        <v>19</v>
      </c>
      <c r="G28" t="s">
        <v>20</v>
      </c>
      <c r="H28" t="s">
        <v>18</v>
      </c>
      <c r="I28">
        <v>1</v>
      </c>
      <c r="J28" t="s">
        <v>16</v>
      </c>
      <c r="K28" t="s">
        <v>17</v>
      </c>
      <c r="L28">
        <v>29</v>
      </c>
      <c r="M28" t="str" cm="1">
        <f t="array" ref="M28">_xlfn.IFS(L28&lt;31, "Adolescent 0-30",L28&lt;=54,"Middle Age 31-54",L28&gt;=55,"Old 55+")</f>
        <v>Adolescent 0-30</v>
      </c>
      <c r="N28" t="s">
        <v>15</v>
      </c>
    </row>
    <row r="29" spans="1:14" x14ac:dyDescent="0.2">
      <c r="A29">
        <v>18283</v>
      </c>
      <c r="B29" t="s">
        <v>37</v>
      </c>
      <c r="C29" t="s">
        <v>39</v>
      </c>
      <c r="D29" s="3">
        <v>100000</v>
      </c>
      <c r="E29">
        <v>0</v>
      </c>
      <c r="F29" t="s">
        <v>13</v>
      </c>
      <c r="G29" t="s">
        <v>21</v>
      </c>
      <c r="H29" t="s">
        <v>18</v>
      </c>
      <c r="I29">
        <v>1</v>
      </c>
      <c r="J29" t="s">
        <v>23</v>
      </c>
      <c r="K29" t="s">
        <v>24</v>
      </c>
      <c r="L29">
        <v>40</v>
      </c>
      <c r="M29" t="str" cm="1">
        <f t="array" ref="M29">_xlfn.IFS(L29&lt;31, "Adolescent 0-30",L29&lt;=54,"Middle Age 31-54",L29&gt;=55,"Old 55+")</f>
        <v>Middle Age 31-54</v>
      </c>
      <c r="N29" t="s">
        <v>18</v>
      </c>
    </row>
    <row r="30" spans="1:14" x14ac:dyDescent="0.2">
      <c r="A30">
        <v>18299</v>
      </c>
      <c r="B30" t="s">
        <v>36</v>
      </c>
      <c r="C30" t="s">
        <v>38</v>
      </c>
      <c r="D30" s="3">
        <v>70000</v>
      </c>
      <c r="E30">
        <v>5</v>
      </c>
      <c r="F30" t="s">
        <v>19</v>
      </c>
      <c r="G30" t="s">
        <v>14</v>
      </c>
      <c r="H30" t="s">
        <v>15</v>
      </c>
      <c r="I30">
        <v>2</v>
      </c>
      <c r="J30" t="s">
        <v>23</v>
      </c>
      <c r="K30" t="s">
        <v>24</v>
      </c>
      <c r="L30">
        <v>44</v>
      </c>
      <c r="M30" t="str" cm="1">
        <f t="array" ref="M30">_xlfn.IFS(L30&lt;31, "Adolescent 0-30",L30&lt;=54,"Middle Age 31-54",L30&gt;=55,"Old 55+")</f>
        <v>Middle Age 31-54</v>
      </c>
      <c r="N30" t="s">
        <v>18</v>
      </c>
    </row>
    <row r="31" spans="1:14" x14ac:dyDescent="0.2">
      <c r="A31">
        <v>16466</v>
      </c>
      <c r="B31" t="s">
        <v>37</v>
      </c>
      <c r="C31" t="s">
        <v>39</v>
      </c>
      <c r="D31" s="3">
        <v>20000</v>
      </c>
      <c r="E31">
        <v>0</v>
      </c>
      <c r="F31" t="s">
        <v>29</v>
      </c>
      <c r="G31" t="s">
        <v>25</v>
      </c>
      <c r="H31" t="s">
        <v>18</v>
      </c>
      <c r="I31">
        <v>2</v>
      </c>
      <c r="J31" t="s">
        <v>16</v>
      </c>
      <c r="K31" t="s">
        <v>17</v>
      </c>
      <c r="L31">
        <v>32</v>
      </c>
      <c r="M31" t="str" cm="1">
        <f t="array" ref="M31">_xlfn.IFS(L31&lt;31, "Adolescent 0-30",L31&lt;=54,"Middle Age 31-54",L31&gt;=55,"Old 55+")</f>
        <v>Middle Age 31-54</v>
      </c>
      <c r="N31" t="s">
        <v>15</v>
      </c>
    </row>
    <row r="32" spans="1:14" x14ac:dyDescent="0.2">
      <c r="A32">
        <v>19273</v>
      </c>
      <c r="B32" t="s">
        <v>36</v>
      </c>
      <c r="C32" t="s">
        <v>39</v>
      </c>
      <c r="D32" s="3">
        <v>20000</v>
      </c>
      <c r="E32">
        <v>2</v>
      </c>
      <c r="F32" t="s">
        <v>19</v>
      </c>
      <c r="G32" t="s">
        <v>25</v>
      </c>
      <c r="H32" t="s">
        <v>15</v>
      </c>
      <c r="I32">
        <v>0</v>
      </c>
      <c r="J32" t="s">
        <v>16</v>
      </c>
      <c r="K32" t="s">
        <v>17</v>
      </c>
      <c r="L32">
        <v>63</v>
      </c>
      <c r="M32" t="str" cm="1">
        <f t="array" ref="M32">_xlfn.IFS(L32&lt;31, "Adolescent 0-30",L32&lt;=54,"Middle Age 31-54",L32&gt;=55,"Old 55+")</f>
        <v>Old 55+</v>
      </c>
      <c r="N32" t="s">
        <v>18</v>
      </c>
    </row>
    <row r="33" spans="1:14" x14ac:dyDescent="0.2">
      <c r="A33">
        <v>22400</v>
      </c>
      <c r="B33" t="s">
        <v>36</v>
      </c>
      <c r="C33" t="s">
        <v>38</v>
      </c>
      <c r="D33" s="3">
        <v>10000</v>
      </c>
      <c r="E33">
        <v>0</v>
      </c>
      <c r="F33" t="s">
        <v>19</v>
      </c>
      <c r="G33" t="s">
        <v>25</v>
      </c>
      <c r="H33" t="s">
        <v>18</v>
      </c>
      <c r="I33">
        <v>1</v>
      </c>
      <c r="J33" t="s">
        <v>16</v>
      </c>
      <c r="K33" t="s">
        <v>24</v>
      </c>
      <c r="L33">
        <v>26</v>
      </c>
      <c r="M33" t="str" cm="1">
        <f t="array" ref="M33">_xlfn.IFS(L33&lt;31, "Adolescent 0-30",L33&lt;=54,"Middle Age 31-54",L33&gt;=55,"Old 55+")</f>
        <v>Adolescent 0-30</v>
      </c>
      <c r="N33" t="s">
        <v>15</v>
      </c>
    </row>
    <row r="34" spans="1:14" x14ac:dyDescent="0.2">
      <c r="A34">
        <v>20942</v>
      </c>
      <c r="B34" t="s">
        <v>37</v>
      </c>
      <c r="C34" t="s">
        <v>39</v>
      </c>
      <c r="D34" s="3">
        <v>20000</v>
      </c>
      <c r="E34">
        <v>0</v>
      </c>
      <c r="F34" t="s">
        <v>27</v>
      </c>
      <c r="G34" t="s">
        <v>25</v>
      </c>
      <c r="H34" t="s">
        <v>18</v>
      </c>
      <c r="I34">
        <v>1</v>
      </c>
      <c r="J34" t="s">
        <v>23</v>
      </c>
      <c r="K34" t="s">
        <v>17</v>
      </c>
      <c r="L34">
        <v>31</v>
      </c>
      <c r="M34" t="str" cm="1">
        <f t="array" ref="M34">_xlfn.IFS(L34&lt;31, "Adolescent 0-30",L34&lt;=54,"Middle Age 31-54",L34&gt;=55,"Old 55+")</f>
        <v>Middle Age 31-54</v>
      </c>
      <c r="N34" t="s">
        <v>18</v>
      </c>
    </row>
    <row r="35" spans="1:14" x14ac:dyDescent="0.2">
      <c r="A35">
        <v>18484</v>
      </c>
      <c r="B35" t="s">
        <v>37</v>
      </c>
      <c r="C35" t="s">
        <v>38</v>
      </c>
      <c r="D35" s="3">
        <v>80000</v>
      </c>
      <c r="E35">
        <v>2</v>
      </c>
      <c r="F35" t="s">
        <v>27</v>
      </c>
      <c r="G35" t="s">
        <v>14</v>
      </c>
      <c r="H35" t="s">
        <v>18</v>
      </c>
      <c r="I35">
        <v>2</v>
      </c>
      <c r="J35" t="s">
        <v>26</v>
      </c>
      <c r="K35" t="s">
        <v>24</v>
      </c>
      <c r="L35">
        <v>50</v>
      </c>
      <c r="M35" t="str" cm="1">
        <f t="array" ref="M35">_xlfn.IFS(L35&lt;31, "Adolescent 0-30",L35&lt;=54,"Middle Age 31-54",L35&gt;=55,"Old 55+")</f>
        <v>Middle Age 31-54</v>
      </c>
      <c r="N35" t="s">
        <v>15</v>
      </c>
    </row>
    <row r="36" spans="1:14" x14ac:dyDescent="0.2">
      <c r="A36">
        <v>12291</v>
      </c>
      <c r="B36" t="s">
        <v>37</v>
      </c>
      <c r="C36" t="s">
        <v>38</v>
      </c>
      <c r="D36" s="3">
        <v>90000</v>
      </c>
      <c r="E36">
        <v>5</v>
      </c>
      <c r="F36" t="s">
        <v>19</v>
      </c>
      <c r="G36" t="s">
        <v>21</v>
      </c>
      <c r="H36" t="s">
        <v>18</v>
      </c>
      <c r="I36">
        <v>2</v>
      </c>
      <c r="J36" t="s">
        <v>22</v>
      </c>
      <c r="K36" t="s">
        <v>17</v>
      </c>
      <c r="L36">
        <v>62</v>
      </c>
      <c r="M36" t="str" cm="1">
        <f t="array" ref="M36">_xlfn.IFS(L36&lt;31, "Adolescent 0-30",L36&lt;=54,"Middle Age 31-54",L36&gt;=55,"Old 55+")</f>
        <v>Old 55+</v>
      </c>
      <c r="N36" t="s">
        <v>15</v>
      </c>
    </row>
    <row r="37" spans="1:14" x14ac:dyDescent="0.2">
      <c r="A37">
        <v>28380</v>
      </c>
      <c r="B37" t="s">
        <v>37</v>
      </c>
      <c r="C37" t="s">
        <v>39</v>
      </c>
      <c r="D37" s="3">
        <v>10000</v>
      </c>
      <c r="E37">
        <v>5</v>
      </c>
      <c r="F37" t="s">
        <v>29</v>
      </c>
      <c r="G37" t="s">
        <v>25</v>
      </c>
      <c r="H37" t="s">
        <v>18</v>
      </c>
      <c r="I37">
        <v>2</v>
      </c>
      <c r="J37" t="s">
        <v>16</v>
      </c>
      <c r="K37" t="s">
        <v>17</v>
      </c>
      <c r="L37">
        <v>41</v>
      </c>
      <c r="M37" t="str" cm="1">
        <f t="array" ref="M37">_xlfn.IFS(L37&lt;31, "Adolescent 0-30",L37&lt;=54,"Middle Age 31-54",L37&gt;=55,"Old 55+")</f>
        <v>Middle Age 31-54</v>
      </c>
      <c r="N37" t="s">
        <v>18</v>
      </c>
    </row>
    <row r="38" spans="1:14" x14ac:dyDescent="0.2">
      <c r="A38">
        <v>17891</v>
      </c>
      <c r="B38" t="s">
        <v>36</v>
      </c>
      <c r="C38" t="s">
        <v>39</v>
      </c>
      <c r="D38" s="3">
        <v>10000</v>
      </c>
      <c r="E38">
        <v>2</v>
      </c>
      <c r="F38" t="s">
        <v>19</v>
      </c>
      <c r="G38" t="s">
        <v>25</v>
      </c>
      <c r="H38" t="s">
        <v>15</v>
      </c>
      <c r="I38">
        <v>1</v>
      </c>
      <c r="J38" t="s">
        <v>16</v>
      </c>
      <c r="K38" t="s">
        <v>17</v>
      </c>
      <c r="L38">
        <v>50</v>
      </c>
      <c r="M38" t="str" cm="1">
        <f t="array" ref="M38">_xlfn.IFS(L38&lt;31, "Adolescent 0-30",L38&lt;=54,"Middle Age 31-54",L38&gt;=55,"Old 55+")</f>
        <v>Middle Age 31-54</v>
      </c>
      <c r="N38" t="s">
        <v>15</v>
      </c>
    </row>
    <row r="39" spans="1:14" x14ac:dyDescent="0.2">
      <c r="A39">
        <v>27832</v>
      </c>
      <c r="B39" t="s">
        <v>37</v>
      </c>
      <c r="C39" t="s">
        <v>39</v>
      </c>
      <c r="D39" s="3">
        <v>30000</v>
      </c>
      <c r="E39">
        <v>0</v>
      </c>
      <c r="F39" t="s">
        <v>19</v>
      </c>
      <c r="G39" t="s">
        <v>20</v>
      </c>
      <c r="H39" t="s">
        <v>18</v>
      </c>
      <c r="I39">
        <v>1</v>
      </c>
      <c r="J39" t="s">
        <v>22</v>
      </c>
      <c r="K39" t="s">
        <v>17</v>
      </c>
      <c r="L39">
        <v>30</v>
      </c>
      <c r="M39" t="str" cm="1">
        <f t="array" ref="M39">_xlfn.IFS(L39&lt;31, "Adolescent 0-30",L39&lt;=54,"Middle Age 31-54",L39&gt;=55,"Old 55+")</f>
        <v>Adolescent 0-30</v>
      </c>
      <c r="N39" t="s">
        <v>18</v>
      </c>
    </row>
    <row r="40" spans="1:14" x14ac:dyDescent="0.2">
      <c r="A40">
        <v>26863</v>
      </c>
      <c r="B40" t="s">
        <v>37</v>
      </c>
      <c r="C40" t="s">
        <v>38</v>
      </c>
      <c r="D40" s="3">
        <v>20000</v>
      </c>
      <c r="E40">
        <v>0</v>
      </c>
      <c r="F40" t="s">
        <v>27</v>
      </c>
      <c r="G40" t="s">
        <v>25</v>
      </c>
      <c r="H40" t="s">
        <v>18</v>
      </c>
      <c r="I40">
        <v>1</v>
      </c>
      <c r="J40" t="s">
        <v>22</v>
      </c>
      <c r="K40" t="s">
        <v>17</v>
      </c>
      <c r="L40">
        <v>28</v>
      </c>
      <c r="M40" t="str" cm="1">
        <f t="array" ref="M40">_xlfn.IFS(L40&lt;31, "Adolescent 0-30",L40&lt;=54,"Middle Age 31-54",L40&gt;=55,"Old 55+")</f>
        <v>Adolescent 0-30</v>
      </c>
      <c r="N40" t="s">
        <v>18</v>
      </c>
    </row>
    <row r="41" spans="1:14" x14ac:dyDescent="0.2">
      <c r="A41">
        <v>16259</v>
      </c>
      <c r="B41" t="s">
        <v>37</v>
      </c>
      <c r="C41" t="s">
        <v>39</v>
      </c>
      <c r="D41" s="3">
        <v>10000</v>
      </c>
      <c r="E41">
        <v>4</v>
      </c>
      <c r="F41" t="s">
        <v>29</v>
      </c>
      <c r="G41" t="s">
        <v>25</v>
      </c>
      <c r="H41" t="s">
        <v>15</v>
      </c>
      <c r="I41">
        <v>2</v>
      </c>
      <c r="J41" t="s">
        <v>16</v>
      </c>
      <c r="K41" t="s">
        <v>17</v>
      </c>
      <c r="L41">
        <v>40</v>
      </c>
      <c r="M41" t="str" cm="1">
        <f t="array" ref="M41">_xlfn.IFS(L41&lt;31, "Adolescent 0-30",L41&lt;=54,"Middle Age 31-54",L41&gt;=55,"Old 55+")</f>
        <v>Middle Age 31-54</v>
      </c>
      <c r="N41" t="s">
        <v>15</v>
      </c>
    </row>
    <row r="42" spans="1:14" x14ac:dyDescent="0.2">
      <c r="A42">
        <v>27803</v>
      </c>
      <c r="B42" t="s">
        <v>37</v>
      </c>
      <c r="C42" t="s">
        <v>39</v>
      </c>
      <c r="D42" s="3">
        <v>30000</v>
      </c>
      <c r="E42">
        <v>2</v>
      </c>
      <c r="F42" t="s">
        <v>19</v>
      </c>
      <c r="G42" t="s">
        <v>20</v>
      </c>
      <c r="H42" t="s">
        <v>18</v>
      </c>
      <c r="I42">
        <v>0</v>
      </c>
      <c r="J42" t="s">
        <v>16</v>
      </c>
      <c r="K42" t="s">
        <v>17</v>
      </c>
      <c r="L42">
        <v>43</v>
      </c>
      <c r="M42" t="str" cm="1">
        <f t="array" ref="M42">_xlfn.IFS(L42&lt;31, "Adolescent 0-30",L42&lt;=54,"Middle Age 31-54",L42&gt;=55,"Old 55+")</f>
        <v>Middle Age 31-54</v>
      </c>
      <c r="N42" t="s">
        <v>18</v>
      </c>
    </row>
    <row r="43" spans="1:14" x14ac:dyDescent="0.2">
      <c r="A43">
        <v>14347</v>
      </c>
      <c r="B43" t="s">
        <v>37</v>
      </c>
      <c r="C43" t="s">
        <v>39</v>
      </c>
      <c r="D43" s="3">
        <v>40000</v>
      </c>
      <c r="E43">
        <v>2</v>
      </c>
      <c r="F43" t="s">
        <v>13</v>
      </c>
      <c r="G43" t="s">
        <v>28</v>
      </c>
      <c r="H43" t="s">
        <v>15</v>
      </c>
      <c r="I43">
        <v>2</v>
      </c>
      <c r="J43" t="s">
        <v>23</v>
      </c>
      <c r="K43" t="s">
        <v>24</v>
      </c>
      <c r="L43">
        <v>65</v>
      </c>
      <c r="M43" t="str" cm="1">
        <f t="array" ref="M43">_xlfn.IFS(L43&lt;31, "Adolescent 0-30",L43&lt;=54,"Middle Age 31-54",L43&gt;=55,"Old 55+")</f>
        <v>Old 55+</v>
      </c>
      <c r="N43" t="s">
        <v>15</v>
      </c>
    </row>
    <row r="44" spans="1:14" x14ac:dyDescent="0.2">
      <c r="A44">
        <v>17703</v>
      </c>
      <c r="B44" t="s">
        <v>36</v>
      </c>
      <c r="C44" t="s">
        <v>39</v>
      </c>
      <c r="D44" s="3">
        <v>10000</v>
      </c>
      <c r="E44">
        <v>1</v>
      </c>
      <c r="F44" t="s">
        <v>31</v>
      </c>
      <c r="G44" t="s">
        <v>25</v>
      </c>
      <c r="H44" t="s">
        <v>15</v>
      </c>
      <c r="I44">
        <v>0</v>
      </c>
      <c r="J44" t="s">
        <v>16</v>
      </c>
      <c r="K44" t="s">
        <v>17</v>
      </c>
      <c r="L44">
        <v>40</v>
      </c>
      <c r="M44" t="str" cm="1">
        <f t="array" ref="M44">_xlfn.IFS(L44&lt;31, "Adolescent 0-30",L44&lt;=54,"Middle Age 31-54",L44&gt;=55,"Old 55+")</f>
        <v>Middle Age 31-54</v>
      </c>
      <c r="N44" t="s">
        <v>18</v>
      </c>
    </row>
    <row r="45" spans="1:14" x14ac:dyDescent="0.2">
      <c r="A45">
        <v>17185</v>
      </c>
      <c r="B45" t="s">
        <v>36</v>
      </c>
      <c r="C45" t="s">
        <v>39</v>
      </c>
      <c r="D45" s="3">
        <v>170000</v>
      </c>
      <c r="E45">
        <v>4</v>
      </c>
      <c r="F45" t="s">
        <v>19</v>
      </c>
      <c r="G45" t="s">
        <v>21</v>
      </c>
      <c r="H45" t="s">
        <v>18</v>
      </c>
      <c r="I45">
        <v>3</v>
      </c>
      <c r="J45" t="s">
        <v>23</v>
      </c>
      <c r="K45" t="s">
        <v>17</v>
      </c>
      <c r="L45">
        <v>48</v>
      </c>
      <c r="M45" t="str" cm="1">
        <f t="array" ref="M45">_xlfn.IFS(L45&lt;31, "Adolescent 0-30",L45&lt;=54,"Middle Age 31-54",L45&gt;=55,"Old 55+")</f>
        <v>Middle Age 31-54</v>
      </c>
      <c r="N45" t="s">
        <v>15</v>
      </c>
    </row>
    <row r="46" spans="1:14" x14ac:dyDescent="0.2">
      <c r="A46">
        <v>29380</v>
      </c>
      <c r="B46" t="s">
        <v>36</v>
      </c>
      <c r="C46" t="s">
        <v>39</v>
      </c>
      <c r="D46" s="3">
        <v>20000</v>
      </c>
      <c r="E46">
        <v>3</v>
      </c>
      <c r="F46" t="s">
        <v>27</v>
      </c>
      <c r="G46" t="s">
        <v>25</v>
      </c>
      <c r="H46" t="s">
        <v>15</v>
      </c>
      <c r="I46">
        <v>0</v>
      </c>
      <c r="J46" t="s">
        <v>16</v>
      </c>
      <c r="K46" t="s">
        <v>17</v>
      </c>
      <c r="L46">
        <v>41</v>
      </c>
      <c r="M46" t="str" cm="1">
        <f t="array" ref="M46">_xlfn.IFS(L46&lt;31, "Adolescent 0-30",L46&lt;=54,"Middle Age 31-54",L46&gt;=55,"Old 55+")</f>
        <v>Middle Age 31-54</v>
      </c>
      <c r="N46" t="s">
        <v>15</v>
      </c>
    </row>
    <row r="47" spans="1:14" x14ac:dyDescent="0.2">
      <c r="A47">
        <v>23986</v>
      </c>
      <c r="B47" t="s">
        <v>36</v>
      </c>
      <c r="C47" t="s">
        <v>39</v>
      </c>
      <c r="D47" s="3">
        <v>20000</v>
      </c>
      <c r="E47">
        <v>1</v>
      </c>
      <c r="F47" t="s">
        <v>13</v>
      </c>
      <c r="G47" t="s">
        <v>20</v>
      </c>
      <c r="H47" t="s">
        <v>15</v>
      </c>
      <c r="I47">
        <v>0</v>
      </c>
      <c r="J47" t="s">
        <v>16</v>
      </c>
      <c r="K47" t="s">
        <v>17</v>
      </c>
      <c r="L47">
        <v>66</v>
      </c>
      <c r="M47" t="str" cm="1">
        <f t="array" ref="M47">_xlfn.IFS(L47&lt;31, "Adolescent 0-30",L47&lt;=54,"Middle Age 31-54",L47&gt;=55,"Old 55+")</f>
        <v>Old 55+</v>
      </c>
      <c r="N47" t="s">
        <v>15</v>
      </c>
    </row>
    <row r="48" spans="1:14" x14ac:dyDescent="0.2">
      <c r="A48">
        <v>24466</v>
      </c>
      <c r="B48" t="s">
        <v>36</v>
      </c>
      <c r="C48" t="s">
        <v>39</v>
      </c>
      <c r="D48" s="3">
        <v>60000</v>
      </c>
      <c r="E48">
        <v>1</v>
      </c>
      <c r="F48" t="s">
        <v>19</v>
      </c>
      <c r="G48" t="s">
        <v>14</v>
      </c>
      <c r="H48" t="s">
        <v>15</v>
      </c>
      <c r="I48">
        <v>1</v>
      </c>
      <c r="J48" t="s">
        <v>23</v>
      </c>
      <c r="K48" t="s">
        <v>24</v>
      </c>
      <c r="L48">
        <v>46</v>
      </c>
      <c r="M48" t="str" cm="1">
        <f t="array" ref="M48">_xlfn.IFS(L48&lt;31, "Adolescent 0-30",L48&lt;=54,"Middle Age 31-54",L48&gt;=55,"Old 55+")</f>
        <v>Middle Age 31-54</v>
      </c>
      <c r="N48" t="s">
        <v>15</v>
      </c>
    </row>
    <row r="49" spans="1:14" x14ac:dyDescent="0.2">
      <c r="A49">
        <v>29097</v>
      </c>
      <c r="B49" t="s">
        <v>37</v>
      </c>
      <c r="C49" t="s">
        <v>39</v>
      </c>
      <c r="D49" s="3">
        <v>40000</v>
      </c>
      <c r="E49">
        <v>2</v>
      </c>
      <c r="F49" t="s">
        <v>19</v>
      </c>
      <c r="G49" t="s">
        <v>14</v>
      </c>
      <c r="H49" t="s">
        <v>15</v>
      </c>
      <c r="I49">
        <v>2</v>
      </c>
      <c r="J49" t="s">
        <v>23</v>
      </c>
      <c r="K49" t="s">
        <v>24</v>
      </c>
      <c r="L49">
        <v>52</v>
      </c>
      <c r="M49" t="str" cm="1">
        <f t="array" ref="M49">_xlfn.IFS(L49&lt;31, "Adolescent 0-30",L49&lt;=54,"Middle Age 31-54",L49&gt;=55,"Old 55+")</f>
        <v>Middle Age 31-54</v>
      </c>
      <c r="N49" t="s">
        <v>15</v>
      </c>
    </row>
    <row r="50" spans="1:14" x14ac:dyDescent="0.2">
      <c r="A50">
        <v>19487</v>
      </c>
      <c r="B50" t="s">
        <v>36</v>
      </c>
      <c r="C50" t="s">
        <v>38</v>
      </c>
      <c r="D50" s="3">
        <v>30000</v>
      </c>
      <c r="E50">
        <v>2</v>
      </c>
      <c r="F50" t="s">
        <v>19</v>
      </c>
      <c r="G50" t="s">
        <v>20</v>
      </c>
      <c r="H50" t="s">
        <v>18</v>
      </c>
      <c r="I50">
        <v>2</v>
      </c>
      <c r="J50" t="s">
        <v>16</v>
      </c>
      <c r="K50" t="s">
        <v>17</v>
      </c>
      <c r="L50">
        <v>42</v>
      </c>
      <c r="M50" t="str" cm="1">
        <f t="array" ref="M50">_xlfn.IFS(L50&lt;31, "Adolescent 0-30",L50&lt;=54,"Middle Age 31-54",L50&gt;=55,"Old 55+")</f>
        <v>Middle Age 31-54</v>
      </c>
      <c r="N50" t="s">
        <v>18</v>
      </c>
    </row>
    <row r="51" spans="1:14" x14ac:dyDescent="0.2">
      <c r="A51">
        <v>14939</v>
      </c>
      <c r="B51" t="s">
        <v>37</v>
      </c>
      <c r="C51" t="s">
        <v>38</v>
      </c>
      <c r="D51" s="3">
        <v>40000</v>
      </c>
      <c r="E51">
        <v>0</v>
      </c>
      <c r="F51" t="s">
        <v>13</v>
      </c>
      <c r="G51" t="s">
        <v>20</v>
      </c>
      <c r="H51" t="s">
        <v>15</v>
      </c>
      <c r="I51">
        <v>0</v>
      </c>
      <c r="J51" t="s">
        <v>16</v>
      </c>
      <c r="K51" t="s">
        <v>17</v>
      </c>
      <c r="L51">
        <v>39</v>
      </c>
      <c r="M51" t="str" cm="1">
        <f t="array" ref="M51">_xlfn.IFS(L51&lt;31, "Adolescent 0-30",L51&lt;=54,"Middle Age 31-54",L51&gt;=55,"Old 55+")</f>
        <v>Middle Age 31-54</v>
      </c>
      <c r="N51" t="s">
        <v>15</v>
      </c>
    </row>
    <row r="52" spans="1:14" x14ac:dyDescent="0.2">
      <c r="A52">
        <v>13826</v>
      </c>
      <c r="B52" t="s">
        <v>37</v>
      </c>
      <c r="C52" t="s">
        <v>39</v>
      </c>
      <c r="D52" s="3">
        <v>30000</v>
      </c>
      <c r="E52">
        <v>0</v>
      </c>
      <c r="F52" t="s">
        <v>19</v>
      </c>
      <c r="G52" t="s">
        <v>20</v>
      </c>
      <c r="H52" t="s">
        <v>18</v>
      </c>
      <c r="I52">
        <v>1</v>
      </c>
      <c r="J52" t="s">
        <v>16</v>
      </c>
      <c r="K52" t="s">
        <v>17</v>
      </c>
      <c r="L52">
        <v>28</v>
      </c>
      <c r="M52" t="str" cm="1">
        <f t="array" ref="M52">_xlfn.IFS(L52&lt;31, "Adolescent 0-30",L52&lt;=54,"Middle Age 31-54",L52&gt;=55,"Old 55+")</f>
        <v>Adolescent 0-30</v>
      </c>
      <c r="N52" t="s">
        <v>18</v>
      </c>
    </row>
    <row r="53" spans="1:14" x14ac:dyDescent="0.2">
      <c r="A53">
        <v>20619</v>
      </c>
      <c r="B53" t="s">
        <v>37</v>
      </c>
      <c r="C53" t="s">
        <v>38</v>
      </c>
      <c r="D53" s="3">
        <v>80000</v>
      </c>
      <c r="E53">
        <v>0</v>
      </c>
      <c r="F53" t="s">
        <v>13</v>
      </c>
      <c r="G53" t="s">
        <v>21</v>
      </c>
      <c r="H53" t="s">
        <v>18</v>
      </c>
      <c r="I53">
        <v>4</v>
      </c>
      <c r="J53" t="s">
        <v>47</v>
      </c>
      <c r="K53" t="s">
        <v>24</v>
      </c>
      <c r="L53">
        <v>35</v>
      </c>
      <c r="M53" t="str" cm="1">
        <f t="array" ref="M53">_xlfn.IFS(L53&lt;31, "Adolescent 0-30",L53&lt;=54,"Middle Age 31-54",L53&gt;=55,"Old 55+")</f>
        <v>Middle Age 31-54</v>
      </c>
      <c r="N53" t="s">
        <v>18</v>
      </c>
    </row>
    <row r="54" spans="1:14" x14ac:dyDescent="0.2">
      <c r="A54">
        <v>12558</v>
      </c>
      <c r="B54" t="s">
        <v>36</v>
      </c>
      <c r="C54" t="s">
        <v>39</v>
      </c>
      <c r="D54" s="3">
        <v>20000</v>
      </c>
      <c r="E54">
        <v>1</v>
      </c>
      <c r="F54" t="s">
        <v>13</v>
      </c>
      <c r="G54" t="s">
        <v>20</v>
      </c>
      <c r="H54" t="s">
        <v>15</v>
      </c>
      <c r="I54">
        <v>0</v>
      </c>
      <c r="J54" t="s">
        <v>16</v>
      </c>
      <c r="K54" t="s">
        <v>17</v>
      </c>
      <c r="L54">
        <v>65</v>
      </c>
      <c r="M54" t="str" cm="1">
        <f t="array" ref="M54">_xlfn.IFS(L54&lt;31, "Adolescent 0-30",L54&lt;=54,"Middle Age 31-54",L54&gt;=55,"Old 55+")</f>
        <v>Old 55+</v>
      </c>
      <c r="N54" t="s">
        <v>18</v>
      </c>
    </row>
    <row r="55" spans="1:14" x14ac:dyDescent="0.2">
      <c r="A55">
        <v>24871</v>
      </c>
      <c r="B55" t="s">
        <v>37</v>
      </c>
      <c r="C55" t="s">
        <v>39</v>
      </c>
      <c r="D55" s="3">
        <v>90000</v>
      </c>
      <c r="E55">
        <v>4</v>
      </c>
      <c r="F55" t="s">
        <v>27</v>
      </c>
      <c r="G55" t="s">
        <v>28</v>
      </c>
      <c r="H55" t="s">
        <v>18</v>
      </c>
      <c r="I55">
        <v>3</v>
      </c>
      <c r="J55" t="s">
        <v>23</v>
      </c>
      <c r="K55" t="s">
        <v>17</v>
      </c>
      <c r="L55">
        <v>56</v>
      </c>
      <c r="M55" t="str" cm="1">
        <f t="array" ref="M55">_xlfn.IFS(L55&lt;31, "Adolescent 0-30",L55&lt;=54,"Middle Age 31-54",L55&gt;=55,"Old 55+")</f>
        <v>Old 55+</v>
      </c>
      <c r="N55" t="s">
        <v>18</v>
      </c>
    </row>
    <row r="56" spans="1:14" x14ac:dyDescent="0.2">
      <c r="A56">
        <v>17319</v>
      </c>
      <c r="B56" t="s">
        <v>37</v>
      </c>
      <c r="C56" t="s">
        <v>39</v>
      </c>
      <c r="D56" s="3">
        <v>70000</v>
      </c>
      <c r="E56">
        <v>0</v>
      </c>
      <c r="F56" t="s">
        <v>13</v>
      </c>
      <c r="G56" t="s">
        <v>21</v>
      </c>
      <c r="H56" t="s">
        <v>18</v>
      </c>
      <c r="I56">
        <v>1</v>
      </c>
      <c r="J56" t="s">
        <v>23</v>
      </c>
      <c r="K56" t="s">
        <v>24</v>
      </c>
      <c r="L56">
        <v>42</v>
      </c>
      <c r="M56" t="str" cm="1">
        <f t="array" ref="M56">_xlfn.IFS(L56&lt;31, "Adolescent 0-30",L56&lt;=54,"Middle Age 31-54",L56&gt;=55,"Old 55+")</f>
        <v>Middle Age 31-54</v>
      </c>
      <c r="N56" t="s">
        <v>18</v>
      </c>
    </row>
    <row r="57" spans="1:14" x14ac:dyDescent="0.2">
      <c r="A57">
        <v>28906</v>
      </c>
      <c r="B57" t="s">
        <v>36</v>
      </c>
      <c r="C57" t="s">
        <v>38</v>
      </c>
      <c r="D57" s="3">
        <v>80000</v>
      </c>
      <c r="E57">
        <v>4</v>
      </c>
      <c r="F57" t="s">
        <v>27</v>
      </c>
      <c r="G57" t="s">
        <v>21</v>
      </c>
      <c r="H57" t="s">
        <v>15</v>
      </c>
      <c r="I57">
        <v>2</v>
      </c>
      <c r="J57" t="s">
        <v>47</v>
      </c>
      <c r="K57" t="s">
        <v>17</v>
      </c>
      <c r="L57">
        <v>54</v>
      </c>
      <c r="M57" t="str" cm="1">
        <f t="array" ref="M57">_xlfn.IFS(L57&lt;31, "Adolescent 0-30",L57&lt;=54,"Middle Age 31-54",L57&gt;=55,"Old 55+")</f>
        <v>Middle Age 31-54</v>
      </c>
      <c r="N57" t="s">
        <v>18</v>
      </c>
    </row>
    <row r="58" spans="1:14" x14ac:dyDescent="0.2">
      <c r="A58">
        <v>12808</v>
      </c>
      <c r="B58" t="s">
        <v>36</v>
      </c>
      <c r="C58" t="s">
        <v>38</v>
      </c>
      <c r="D58" s="3">
        <v>40000</v>
      </c>
      <c r="E58">
        <v>0</v>
      </c>
      <c r="F58" t="s">
        <v>13</v>
      </c>
      <c r="G58" t="s">
        <v>20</v>
      </c>
      <c r="H58" t="s">
        <v>15</v>
      </c>
      <c r="I58">
        <v>0</v>
      </c>
      <c r="J58" t="s">
        <v>16</v>
      </c>
      <c r="K58" t="s">
        <v>17</v>
      </c>
      <c r="L58">
        <v>38</v>
      </c>
      <c r="M58" t="str" cm="1">
        <f t="array" ref="M58">_xlfn.IFS(L58&lt;31, "Adolescent 0-30",L58&lt;=54,"Middle Age 31-54",L58&gt;=55,"Old 55+")</f>
        <v>Middle Age 31-54</v>
      </c>
      <c r="N58" t="s">
        <v>15</v>
      </c>
    </row>
    <row r="59" spans="1:14" x14ac:dyDescent="0.2">
      <c r="A59">
        <v>20567</v>
      </c>
      <c r="B59" t="s">
        <v>36</v>
      </c>
      <c r="C59" t="s">
        <v>38</v>
      </c>
      <c r="D59" s="3">
        <v>130000</v>
      </c>
      <c r="E59">
        <v>4</v>
      </c>
      <c r="F59" t="s">
        <v>19</v>
      </c>
      <c r="G59" t="s">
        <v>21</v>
      </c>
      <c r="H59" t="s">
        <v>18</v>
      </c>
      <c r="I59">
        <v>4</v>
      </c>
      <c r="J59" t="s">
        <v>23</v>
      </c>
      <c r="K59" t="s">
        <v>17</v>
      </c>
      <c r="L59">
        <v>61</v>
      </c>
      <c r="M59" t="str" cm="1">
        <f t="array" ref="M59">_xlfn.IFS(L59&lt;31, "Adolescent 0-30",L59&lt;=54,"Middle Age 31-54",L59&gt;=55,"Old 55+")</f>
        <v>Old 55+</v>
      </c>
      <c r="N59" t="s">
        <v>15</v>
      </c>
    </row>
    <row r="60" spans="1:14" x14ac:dyDescent="0.2">
      <c r="A60">
        <v>25502</v>
      </c>
      <c r="B60" t="s">
        <v>36</v>
      </c>
      <c r="C60" t="s">
        <v>39</v>
      </c>
      <c r="D60" s="3">
        <v>40000</v>
      </c>
      <c r="E60">
        <v>1</v>
      </c>
      <c r="F60" t="s">
        <v>13</v>
      </c>
      <c r="G60" t="s">
        <v>14</v>
      </c>
      <c r="H60" t="s">
        <v>15</v>
      </c>
      <c r="I60">
        <v>0</v>
      </c>
      <c r="J60" t="s">
        <v>16</v>
      </c>
      <c r="K60" t="s">
        <v>17</v>
      </c>
      <c r="L60">
        <v>43</v>
      </c>
      <c r="M60" t="str" cm="1">
        <f t="array" ref="M60">_xlfn.IFS(L60&lt;31, "Adolescent 0-30",L60&lt;=54,"Middle Age 31-54",L60&gt;=55,"Old 55+")</f>
        <v>Middle Age 31-54</v>
      </c>
      <c r="N60" t="s">
        <v>15</v>
      </c>
    </row>
    <row r="61" spans="1:14" x14ac:dyDescent="0.2">
      <c r="A61">
        <v>15580</v>
      </c>
      <c r="B61" t="s">
        <v>36</v>
      </c>
      <c r="C61" t="s">
        <v>38</v>
      </c>
      <c r="D61" s="3">
        <v>60000</v>
      </c>
      <c r="E61">
        <v>2</v>
      </c>
      <c r="F61" t="s">
        <v>13</v>
      </c>
      <c r="G61" t="s">
        <v>21</v>
      </c>
      <c r="H61" t="s">
        <v>15</v>
      </c>
      <c r="I61">
        <v>1</v>
      </c>
      <c r="J61" t="s">
        <v>22</v>
      </c>
      <c r="K61" t="s">
        <v>24</v>
      </c>
      <c r="L61">
        <v>38</v>
      </c>
      <c r="M61" t="str" cm="1">
        <f t="array" ref="M61">_xlfn.IFS(L61&lt;31, "Adolescent 0-30",L61&lt;=54,"Middle Age 31-54",L61&gt;=55,"Old 55+")</f>
        <v>Middle Age 31-54</v>
      </c>
      <c r="N61" t="s">
        <v>15</v>
      </c>
    </row>
    <row r="62" spans="1:14" x14ac:dyDescent="0.2">
      <c r="A62">
        <v>24185</v>
      </c>
      <c r="B62" t="s">
        <v>37</v>
      </c>
      <c r="C62" t="s">
        <v>39</v>
      </c>
      <c r="D62" s="3">
        <v>10000</v>
      </c>
      <c r="E62">
        <v>1</v>
      </c>
      <c r="F62" t="s">
        <v>27</v>
      </c>
      <c r="G62" t="s">
        <v>25</v>
      </c>
      <c r="H62" t="s">
        <v>18</v>
      </c>
      <c r="I62">
        <v>1</v>
      </c>
      <c r="J62" t="s">
        <v>26</v>
      </c>
      <c r="K62" t="s">
        <v>17</v>
      </c>
      <c r="L62">
        <v>45</v>
      </c>
      <c r="M62" t="str" cm="1">
        <f t="array" ref="M62">_xlfn.IFS(L62&lt;31, "Adolescent 0-30",L62&lt;=54,"Middle Age 31-54",L62&gt;=55,"Old 55+")</f>
        <v>Middle Age 31-54</v>
      </c>
      <c r="N62" t="s">
        <v>18</v>
      </c>
    </row>
    <row r="63" spans="1:14" x14ac:dyDescent="0.2">
      <c r="A63">
        <v>19291</v>
      </c>
      <c r="B63" t="s">
        <v>37</v>
      </c>
      <c r="C63" t="s">
        <v>39</v>
      </c>
      <c r="D63" s="3">
        <v>10000</v>
      </c>
      <c r="E63">
        <v>2</v>
      </c>
      <c r="F63" t="s">
        <v>27</v>
      </c>
      <c r="G63" t="s">
        <v>25</v>
      </c>
      <c r="H63" t="s">
        <v>15</v>
      </c>
      <c r="I63">
        <v>0</v>
      </c>
      <c r="J63" t="s">
        <v>16</v>
      </c>
      <c r="K63" t="s">
        <v>17</v>
      </c>
      <c r="L63">
        <v>35</v>
      </c>
      <c r="M63" t="str" cm="1">
        <f t="array" ref="M63">_xlfn.IFS(L63&lt;31, "Adolescent 0-30",L63&lt;=54,"Middle Age 31-54",L63&gt;=55,"Old 55+")</f>
        <v>Middle Age 31-54</v>
      </c>
      <c r="N63" t="s">
        <v>18</v>
      </c>
    </row>
    <row r="64" spans="1:14" x14ac:dyDescent="0.2">
      <c r="A64">
        <v>16713</v>
      </c>
      <c r="B64" t="s">
        <v>36</v>
      </c>
      <c r="C64" t="s">
        <v>38</v>
      </c>
      <c r="D64" s="3">
        <v>40000</v>
      </c>
      <c r="E64">
        <v>2</v>
      </c>
      <c r="F64" t="s">
        <v>13</v>
      </c>
      <c r="G64" t="s">
        <v>28</v>
      </c>
      <c r="H64" t="s">
        <v>15</v>
      </c>
      <c r="I64">
        <v>1</v>
      </c>
      <c r="J64" t="s">
        <v>16</v>
      </c>
      <c r="K64" t="s">
        <v>24</v>
      </c>
      <c r="L64">
        <v>52</v>
      </c>
      <c r="M64" t="str" cm="1">
        <f t="array" ref="M64">_xlfn.IFS(L64&lt;31, "Adolescent 0-30",L64&lt;=54,"Middle Age 31-54",L64&gt;=55,"Old 55+")</f>
        <v>Middle Age 31-54</v>
      </c>
      <c r="N64" t="s">
        <v>15</v>
      </c>
    </row>
    <row r="65" spans="1:14" x14ac:dyDescent="0.2">
      <c r="A65">
        <v>16185</v>
      </c>
      <c r="B65" t="s">
        <v>37</v>
      </c>
      <c r="C65" t="s">
        <v>38</v>
      </c>
      <c r="D65" s="3">
        <v>60000</v>
      </c>
      <c r="E65">
        <v>4</v>
      </c>
      <c r="F65" t="s">
        <v>13</v>
      </c>
      <c r="G65" t="s">
        <v>21</v>
      </c>
      <c r="H65" t="s">
        <v>15</v>
      </c>
      <c r="I65">
        <v>3</v>
      </c>
      <c r="J65" t="s">
        <v>47</v>
      </c>
      <c r="K65" t="s">
        <v>24</v>
      </c>
      <c r="L65">
        <v>41</v>
      </c>
      <c r="M65" t="str" cm="1">
        <f t="array" ref="M65">_xlfn.IFS(L65&lt;31, "Adolescent 0-30",L65&lt;=54,"Middle Age 31-54",L65&gt;=55,"Old 55+")</f>
        <v>Middle Age 31-54</v>
      </c>
      <c r="N65" t="s">
        <v>18</v>
      </c>
    </row>
    <row r="66" spans="1:14" x14ac:dyDescent="0.2">
      <c r="A66">
        <v>14927</v>
      </c>
      <c r="B66" t="s">
        <v>36</v>
      </c>
      <c r="C66" t="s">
        <v>39</v>
      </c>
      <c r="D66" s="3">
        <v>30000</v>
      </c>
      <c r="E66">
        <v>1</v>
      </c>
      <c r="F66" t="s">
        <v>13</v>
      </c>
      <c r="G66" t="s">
        <v>20</v>
      </c>
      <c r="H66" t="s">
        <v>15</v>
      </c>
      <c r="I66">
        <v>0</v>
      </c>
      <c r="J66" t="s">
        <v>16</v>
      </c>
      <c r="K66" t="s">
        <v>17</v>
      </c>
      <c r="L66">
        <v>37</v>
      </c>
      <c r="M66" t="str" cm="1">
        <f t="array" ref="M66">_xlfn.IFS(L66&lt;31, "Adolescent 0-30",L66&lt;=54,"Middle Age 31-54",L66&gt;=55,"Old 55+")</f>
        <v>Middle Age 31-54</v>
      </c>
      <c r="N66" t="s">
        <v>15</v>
      </c>
    </row>
    <row r="67" spans="1:14" x14ac:dyDescent="0.2">
      <c r="A67">
        <v>29337</v>
      </c>
      <c r="B67" t="s">
        <v>37</v>
      </c>
      <c r="C67" t="s">
        <v>38</v>
      </c>
      <c r="D67" s="3">
        <v>30000</v>
      </c>
      <c r="E67">
        <v>2</v>
      </c>
      <c r="F67" t="s">
        <v>19</v>
      </c>
      <c r="G67" t="s">
        <v>20</v>
      </c>
      <c r="H67" t="s">
        <v>15</v>
      </c>
      <c r="I67">
        <v>2</v>
      </c>
      <c r="J67" t="s">
        <v>23</v>
      </c>
      <c r="K67" t="s">
        <v>24</v>
      </c>
      <c r="L67">
        <v>68</v>
      </c>
      <c r="M67" t="str" cm="1">
        <f t="array" ref="M67">_xlfn.IFS(L67&lt;31, "Adolescent 0-30",L67&lt;=54,"Middle Age 31-54",L67&gt;=55,"Old 55+")</f>
        <v>Old 55+</v>
      </c>
      <c r="N67" t="s">
        <v>18</v>
      </c>
    </row>
    <row r="68" spans="1:14" x14ac:dyDescent="0.2">
      <c r="A68">
        <v>29355</v>
      </c>
      <c r="B68" t="s">
        <v>36</v>
      </c>
      <c r="C68" t="s">
        <v>39</v>
      </c>
      <c r="D68" s="3">
        <v>40000</v>
      </c>
      <c r="E68">
        <v>0</v>
      </c>
      <c r="F68" t="s">
        <v>31</v>
      </c>
      <c r="G68" t="s">
        <v>20</v>
      </c>
      <c r="H68" t="s">
        <v>15</v>
      </c>
      <c r="I68">
        <v>0</v>
      </c>
      <c r="J68" t="s">
        <v>16</v>
      </c>
      <c r="K68" t="s">
        <v>17</v>
      </c>
      <c r="L68">
        <v>37</v>
      </c>
      <c r="M68" t="str" cm="1">
        <f t="array" ref="M68">_xlfn.IFS(L68&lt;31, "Adolescent 0-30",L68&lt;=54,"Middle Age 31-54",L68&gt;=55,"Old 55+")</f>
        <v>Middle Age 31-54</v>
      </c>
      <c r="N68" t="s">
        <v>15</v>
      </c>
    </row>
    <row r="69" spans="1:14" x14ac:dyDescent="0.2">
      <c r="A69">
        <v>25303</v>
      </c>
      <c r="B69" t="s">
        <v>37</v>
      </c>
      <c r="C69" t="s">
        <v>38</v>
      </c>
      <c r="D69" s="3">
        <v>30000</v>
      </c>
      <c r="E69">
        <v>0</v>
      </c>
      <c r="F69" t="s">
        <v>27</v>
      </c>
      <c r="G69" t="s">
        <v>25</v>
      </c>
      <c r="H69" t="s">
        <v>15</v>
      </c>
      <c r="I69">
        <v>1</v>
      </c>
      <c r="J69" t="s">
        <v>22</v>
      </c>
      <c r="K69" t="s">
        <v>17</v>
      </c>
      <c r="L69">
        <v>33</v>
      </c>
      <c r="M69" t="str" cm="1">
        <f t="array" ref="M69">_xlfn.IFS(L69&lt;31, "Adolescent 0-30",L69&lt;=54,"Middle Age 31-54",L69&gt;=55,"Old 55+")</f>
        <v>Middle Age 31-54</v>
      </c>
      <c r="N69" t="s">
        <v>15</v>
      </c>
    </row>
    <row r="70" spans="1:14" x14ac:dyDescent="0.2">
      <c r="A70">
        <v>14813</v>
      </c>
      <c r="B70" t="s">
        <v>37</v>
      </c>
      <c r="C70" t="s">
        <v>39</v>
      </c>
      <c r="D70" s="3">
        <v>20000</v>
      </c>
      <c r="E70">
        <v>4</v>
      </c>
      <c r="F70" t="s">
        <v>27</v>
      </c>
      <c r="G70" t="s">
        <v>25</v>
      </c>
      <c r="H70" t="s">
        <v>15</v>
      </c>
      <c r="I70">
        <v>1</v>
      </c>
      <c r="J70" t="s">
        <v>16</v>
      </c>
      <c r="K70" t="s">
        <v>17</v>
      </c>
      <c r="L70">
        <v>43</v>
      </c>
      <c r="M70" t="str" cm="1">
        <f t="array" ref="M70">_xlfn.IFS(L70&lt;31, "Adolescent 0-30",L70&lt;=54,"Middle Age 31-54",L70&gt;=55,"Old 55+")</f>
        <v>Middle Age 31-54</v>
      </c>
      <c r="N70" t="s">
        <v>15</v>
      </c>
    </row>
    <row r="71" spans="1:14" x14ac:dyDescent="0.2">
      <c r="A71">
        <v>16438</v>
      </c>
      <c r="B71" t="s">
        <v>36</v>
      </c>
      <c r="C71" t="s">
        <v>39</v>
      </c>
      <c r="D71" s="3">
        <v>10000</v>
      </c>
      <c r="E71">
        <v>0</v>
      </c>
      <c r="F71" t="s">
        <v>29</v>
      </c>
      <c r="G71" t="s">
        <v>25</v>
      </c>
      <c r="H71" t="s">
        <v>18</v>
      </c>
      <c r="I71">
        <v>2</v>
      </c>
      <c r="J71" t="s">
        <v>16</v>
      </c>
      <c r="K71" t="s">
        <v>17</v>
      </c>
      <c r="L71">
        <v>30</v>
      </c>
      <c r="M71" t="str" cm="1">
        <f t="array" ref="M71">_xlfn.IFS(L71&lt;31, "Adolescent 0-30",L71&lt;=54,"Middle Age 31-54",L71&gt;=55,"Old 55+")</f>
        <v>Adolescent 0-30</v>
      </c>
      <c r="N71" t="s">
        <v>18</v>
      </c>
    </row>
    <row r="72" spans="1:14" x14ac:dyDescent="0.2">
      <c r="A72">
        <v>14238</v>
      </c>
      <c r="B72" t="s">
        <v>36</v>
      </c>
      <c r="C72" t="s">
        <v>38</v>
      </c>
      <c r="D72" s="3">
        <v>120000</v>
      </c>
      <c r="E72">
        <v>0</v>
      </c>
      <c r="F72" t="s">
        <v>29</v>
      </c>
      <c r="G72" t="s">
        <v>21</v>
      </c>
      <c r="H72" t="s">
        <v>15</v>
      </c>
      <c r="I72">
        <v>4</v>
      </c>
      <c r="J72" t="s">
        <v>47</v>
      </c>
      <c r="K72" t="s">
        <v>24</v>
      </c>
      <c r="L72">
        <v>36</v>
      </c>
      <c r="M72" t="str" cm="1">
        <f t="array" ref="M72">_xlfn.IFS(L72&lt;31, "Adolescent 0-30",L72&lt;=54,"Middle Age 31-54",L72&gt;=55,"Old 55+")</f>
        <v>Middle Age 31-54</v>
      </c>
      <c r="N72" t="s">
        <v>15</v>
      </c>
    </row>
    <row r="73" spans="1:14" x14ac:dyDescent="0.2">
      <c r="A73">
        <v>16200</v>
      </c>
      <c r="B73" t="s">
        <v>37</v>
      </c>
      <c r="C73" t="s">
        <v>39</v>
      </c>
      <c r="D73" s="3">
        <v>10000</v>
      </c>
      <c r="E73">
        <v>0</v>
      </c>
      <c r="F73" t="s">
        <v>29</v>
      </c>
      <c r="G73" t="s">
        <v>25</v>
      </c>
      <c r="H73" t="s">
        <v>18</v>
      </c>
      <c r="I73">
        <v>2</v>
      </c>
      <c r="J73" t="s">
        <v>16</v>
      </c>
      <c r="K73" t="s">
        <v>17</v>
      </c>
      <c r="L73">
        <v>35</v>
      </c>
      <c r="M73" t="str" cm="1">
        <f t="array" ref="M73">_xlfn.IFS(L73&lt;31, "Adolescent 0-30",L73&lt;=54,"Middle Age 31-54",L73&gt;=55,"Old 55+")</f>
        <v>Middle Age 31-54</v>
      </c>
      <c r="N73" t="s">
        <v>18</v>
      </c>
    </row>
    <row r="74" spans="1:14" x14ac:dyDescent="0.2">
      <c r="A74">
        <v>24857</v>
      </c>
      <c r="B74" t="s">
        <v>36</v>
      </c>
      <c r="C74" t="s">
        <v>39</v>
      </c>
      <c r="D74" s="3">
        <v>130000</v>
      </c>
      <c r="E74">
        <v>3</v>
      </c>
      <c r="F74" t="s">
        <v>27</v>
      </c>
      <c r="G74" t="s">
        <v>21</v>
      </c>
      <c r="H74" t="s">
        <v>15</v>
      </c>
      <c r="I74">
        <v>4</v>
      </c>
      <c r="J74" t="s">
        <v>16</v>
      </c>
      <c r="K74" t="s">
        <v>17</v>
      </c>
      <c r="L74">
        <v>52</v>
      </c>
      <c r="M74" t="str" cm="1">
        <f t="array" ref="M74">_xlfn.IFS(L74&lt;31, "Adolescent 0-30",L74&lt;=54,"Middle Age 31-54",L74&gt;=55,"Old 55+")</f>
        <v>Middle Age 31-54</v>
      </c>
      <c r="N74" t="s">
        <v>18</v>
      </c>
    </row>
    <row r="75" spans="1:14" x14ac:dyDescent="0.2">
      <c r="A75">
        <v>26956</v>
      </c>
      <c r="B75" t="s">
        <v>37</v>
      </c>
      <c r="C75" t="s">
        <v>39</v>
      </c>
      <c r="D75" s="3">
        <v>20000</v>
      </c>
      <c r="E75">
        <v>0</v>
      </c>
      <c r="F75" t="s">
        <v>19</v>
      </c>
      <c r="G75" t="s">
        <v>25</v>
      </c>
      <c r="H75" t="s">
        <v>18</v>
      </c>
      <c r="I75">
        <v>1</v>
      </c>
      <c r="J75" t="s">
        <v>22</v>
      </c>
      <c r="K75" t="s">
        <v>17</v>
      </c>
      <c r="L75">
        <v>36</v>
      </c>
      <c r="M75" t="str" cm="1">
        <f t="array" ref="M75">_xlfn.IFS(L75&lt;31, "Adolescent 0-30",L75&lt;=54,"Middle Age 31-54",L75&gt;=55,"Old 55+")</f>
        <v>Middle Age 31-54</v>
      </c>
      <c r="N75" t="s">
        <v>15</v>
      </c>
    </row>
    <row r="76" spans="1:14" x14ac:dyDescent="0.2">
      <c r="A76">
        <v>14517</v>
      </c>
      <c r="B76" t="s">
        <v>36</v>
      </c>
      <c r="C76" t="s">
        <v>39</v>
      </c>
      <c r="D76" s="3">
        <v>20000</v>
      </c>
      <c r="E76">
        <v>3</v>
      </c>
      <c r="F76" t="s">
        <v>27</v>
      </c>
      <c r="G76" t="s">
        <v>14</v>
      </c>
      <c r="H76" t="s">
        <v>18</v>
      </c>
      <c r="I76">
        <v>2</v>
      </c>
      <c r="J76" t="s">
        <v>26</v>
      </c>
      <c r="K76" t="s">
        <v>24</v>
      </c>
      <c r="L76">
        <v>62</v>
      </c>
      <c r="M76" t="str" cm="1">
        <f t="array" ref="M76">_xlfn.IFS(L76&lt;31, "Adolescent 0-30",L76&lt;=54,"Middle Age 31-54",L76&gt;=55,"Old 55+")</f>
        <v>Old 55+</v>
      </c>
      <c r="N76" t="s">
        <v>18</v>
      </c>
    </row>
    <row r="77" spans="1:14" x14ac:dyDescent="0.2">
      <c r="A77">
        <v>12678</v>
      </c>
      <c r="B77" t="s">
        <v>37</v>
      </c>
      <c r="C77" t="s">
        <v>39</v>
      </c>
      <c r="D77" s="3">
        <v>130000</v>
      </c>
      <c r="E77">
        <v>4</v>
      </c>
      <c r="F77" t="s">
        <v>27</v>
      </c>
      <c r="G77" t="s">
        <v>28</v>
      </c>
      <c r="H77" t="s">
        <v>15</v>
      </c>
      <c r="I77">
        <v>4</v>
      </c>
      <c r="J77" t="s">
        <v>16</v>
      </c>
      <c r="K77" t="s">
        <v>24</v>
      </c>
      <c r="L77">
        <v>31</v>
      </c>
      <c r="M77" t="str" cm="1">
        <f t="array" ref="M77">_xlfn.IFS(L77&lt;31, "Adolescent 0-30",L77&lt;=54,"Middle Age 31-54",L77&gt;=55,"Old 55+")</f>
        <v>Middle Age 31-54</v>
      </c>
      <c r="N77" t="s">
        <v>18</v>
      </c>
    </row>
    <row r="78" spans="1:14" x14ac:dyDescent="0.2">
      <c r="A78">
        <v>16188</v>
      </c>
      <c r="B78" t="s">
        <v>37</v>
      </c>
      <c r="C78" t="s">
        <v>39</v>
      </c>
      <c r="D78" s="3">
        <v>20000</v>
      </c>
      <c r="E78">
        <v>0</v>
      </c>
      <c r="F78" t="s">
        <v>29</v>
      </c>
      <c r="G78" t="s">
        <v>25</v>
      </c>
      <c r="H78" t="s">
        <v>18</v>
      </c>
      <c r="I78">
        <v>2</v>
      </c>
      <c r="J78" t="s">
        <v>26</v>
      </c>
      <c r="K78" t="s">
        <v>17</v>
      </c>
      <c r="L78">
        <v>26</v>
      </c>
      <c r="M78" t="str" cm="1">
        <f t="array" ref="M78">_xlfn.IFS(L78&lt;31, "Adolescent 0-30",L78&lt;=54,"Middle Age 31-54",L78&gt;=55,"Old 55+")</f>
        <v>Adolescent 0-30</v>
      </c>
      <c r="N78" t="s">
        <v>18</v>
      </c>
    </row>
    <row r="79" spans="1:14" x14ac:dyDescent="0.2">
      <c r="A79">
        <v>27969</v>
      </c>
      <c r="B79" t="s">
        <v>36</v>
      </c>
      <c r="C79" t="s">
        <v>38</v>
      </c>
      <c r="D79" s="3">
        <v>80000</v>
      </c>
      <c r="E79">
        <v>0</v>
      </c>
      <c r="F79" t="s">
        <v>13</v>
      </c>
      <c r="G79" t="s">
        <v>21</v>
      </c>
      <c r="H79" t="s">
        <v>15</v>
      </c>
      <c r="I79">
        <v>2</v>
      </c>
      <c r="J79" t="s">
        <v>47</v>
      </c>
      <c r="K79" t="s">
        <v>24</v>
      </c>
      <c r="L79">
        <v>29</v>
      </c>
      <c r="M79" t="str" cm="1">
        <f t="array" ref="M79">_xlfn.IFS(L79&lt;31, "Adolescent 0-30",L79&lt;=54,"Middle Age 31-54",L79&gt;=55,"Old 55+")</f>
        <v>Adolescent 0-30</v>
      </c>
      <c r="N79" t="s">
        <v>15</v>
      </c>
    </row>
    <row r="80" spans="1:14" x14ac:dyDescent="0.2">
      <c r="A80">
        <v>15752</v>
      </c>
      <c r="B80" t="s">
        <v>36</v>
      </c>
      <c r="C80" t="s">
        <v>38</v>
      </c>
      <c r="D80" s="3">
        <v>80000</v>
      </c>
      <c r="E80">
        <v>2</v>
      </c>
      <c r="F80" t="s">
        <v>27</v>
      </c>
      <c r="G80" t="s">
        <v>14</v>
      </c>
      <c r="H80" t="s">
        <v>18</v>
      </c>
      <c r="I80">
        <v>2</v>
      </c>
      <c r="J80" t="s">
        <v>26</v>
      </c>
      <c r="K80" t="s">
        <v>24</v>
      </c>
      <c r="L80">
        <v>50</v>
      </c>
      <c r="M80" t="str" cm="1">
        <f t="array" ref="M80">_xlfn.IFS(L80&lt;31, "Adolescent 0-30",L80&lt;=54,"Middle Age 31-54",L80&gt;=55,"Old 55+")</f>
        <v>Middle Age 31-54</v>
      </c>
      <c r="N80" t="s">
        <v>15</v>
      </c>
    </row>
    <row r="81" spans="1:14" x14ac:dyDescent="0.2">
      <c r="A81">
        <v>27745</v>
      </c>
      <c r="B81" t="s">
        <v>37</v>
      </c>
      <c r="C81" t="s">
        <v>38</v>
      </c>
      <c r="D81" s="3">
        <v>40000</v>
      </c>
      <c r="E81">
        <v>2</v>
      </c>
      <c r="F81" t="s">
        <v>13</v>
      </c>
      <c r="G81" t="s">
        <v>28</v>
      </c>
      <c r="H81" t="s">
        <v>15</v>
      </c>
      <c r="I81">
        <v>2</v>
      </c>
      <c r="J81" t="s">
        <v>23</v>
      </c>
      <c r="K81" t="s">
        <v>24</v>
      </c>
      <c r="L81">
        <v>63</v>
      </c>
      <c r="M81" t="str" cm="1">
        <f t="array" ref="M81">_xlfn.IFS(L81&lt;31, "Adolescent 0-30",L81&lt;=54,"Middle Age 31-54",L81&gt;=55,"Old 55+")</f>
        <v>Old 55+</v>
      </c>
      <c r="N81" t="s">
        <v>15</v>
      </c>
    </row>
    <row r="82" spans="1:14" x14ac:dyDescent="0.2">
      <c r="A82">
        <v>20828</v>
      </c>
      <c r="B82" t="s">
        <v>36</v>
      </c>
      <c r="C82" t="s">
        <v>39</v>
      </c>
      <c r="D82" s="3">
        <v>30000</v>
      </c>
      <c r="E82">
        <v>4</v>
      </c>
      <c r="F82" t="s">
        <v>31</v>
      </c>
      <c r="G82" t="s">
        <v>20</v>
      </c>
      <c r="H82" t="s">
        <v>15</v>
      </c>
      <c r="I82">
        <v>0</v>
      </c>
      <c r="J82" t="s">
        <v>16</v>
      </c>
      <c r="K82" t="s">
        <v>17</v>
      </c>
      <c r="L82">
        <v>45</v>
      </c>
      <c r="M82" t="str" cm="1">
        <f t="array" ref="M82">_xlfn.IFS(L82&lt;31, "Adolescent 0-30",L82&lt;=54,"Middle Age 31-54",L82&gt;=55,"Old 55+")</f>
        <v>Middle Age 31-54</v>
      </c>
      <c r="N82" t="s">
        <v>15</v>
      </c>
    </row>
    <row r="83" spans="1:14" x14ac:dyDescent="0.2">
      <c r="A83">
        <v>19461</v>
      </c>
      <c r="B83" t="s">
        <v>37</v>
      </c>
      <c r="C83" t="s">
        <v>39</v>
      </c>
      <c r="D83" s="3">
        <v>10000</v>
      </c>
      <c r="E83">
        <v>4</v>
      </c>
      <c r="F83" t="s">
        <v>29</v>
      </c>
      <c r="G83" t="s">
        <v>25</v>
      </c>
      <c r="H83" t="s">
        <v>15</v>
      </c>
      <c r="I83">
        <v>2</v>
      </c>
      <c r="J83" t="s">
        <v>16</v>
      </c>
      <c r="K83" t="s">
        <v>17</v>
      </c>
      <c r="L83">
        <v>40</v>
      </c>
      <c r="M83" t="str" cm="1">
        <f t="array" ref="M83">_xlfn.IFS(L83&lt;31, "Adolescent 0-30",L83&lt;=54,"Middle Age 31-54",L83&gt;=55,"Old 55+")</f>
        <v>Middle Age 31-54</v>
      </c>
      <c r="N83" t="s">
        <v>18</v>
      </c>
    </row>
    <row r="84" spans="1:14" x14ac:dyDescent="0.2">
      <c r="A84">
        <v>26941</v>
      </c>
      <c r="B84" t="s">
        <v>36</v>
      </c>
      <c r="C84" t="s">
        <v>38</v>
      </c>
      <c r="D84" s="3">
        <v>30000</v>
      </c>
      <c r="E84">
        <v>0</v>
      </c>
      <c r="F84" t="s">
        <v>13</v>
      </c>
      <c r="G84" t="s">
        <v>20</v>
      </c>
      <c r="H84" t="s">
        <v>15</v>
      </c>
      <c r="I84">
        <v>0</v>
      </c>
      <c r="J84" t="s">
        <v>16</v>
      </c>
      <c r="K84" t="s">
        <v>17</v>
      </c>
      <c r="L84">
        <v>47</v>
      </c>
      <c r="M84" t="str" cm="1">
        <f t="array" ref="M84">_xlfn.IFS(L84&lt;31, "Adolescent 0-30",L84&lt;=54,"Middle Age 31-54",L84&gt;=55,"Old 55+")</f>
        <v>Middle Age 31-54</v>
      </c>
      <c r="N84" t="s">
        <v>15</v>
      </c>
    </row>
    <row r="85" spans="1:14" x14ac:dyDescent="0.2">
      <c r="A85">
        <v>28412</v>
      </c>
      <c r="B85" t="s">
        <v>37</v>
      </c>
      <c r="C85" t="s">
        <v>38</v>
      </c>
      <c r="D85" s="3">
        <v>20000</v>
      </c>
      <c r="E85">
        <v>0</v>
      </c>
      <c r="F85" t="s">
        <v>27</v>
      </c>
      <c r="G85" t="s">
        <v>25</v>
      </c>
      <c r="H85" t="s">
        <v>18</v>
      </c>
      <c r="I85">
        <v>1</v>
      </c>
      <c r="J85" t="s">
        <v>22</v>
      </c>
      <c r="K85" t="s">
        <v>17</v>
      </c>
      <c r="L85">
        <v>29</v>
      </c>
      <c r="M85" t="str" cm="1">
        <f t="array" ref="M85">_xlfn.IFS(L85&lt;31, "Adolescent 0-30",L85&lt;=54,"Middle Age 31-54",L85&gt;=55,"Old 55+")</f>
        <v>Adolescent 0-30</v>
      </c>
      <c r="N85" t="s">
        <v>18</v>
      </c>
    </row>
    <row r="86" spans="1:14" x14ac:dyDescent="0.2">
      <c r="A86">
        <v>24485</v>
      </c>
      <c r="B86" t="s">
        <v>37</v>
      </c>
      <c r="C86" t="s">
        <v>38</v>
      </c>
      <c r="D86" s="3">
        <v>40000</v>
      </c>
      <c r="E86">
        <v>2</v>
      </c>
      <c r="F86" t="s">
        <v>13</v>
      </c>
      <c r="G86" t="s">
        <v>28</v>
      </c>
      <c r="H86" t="s">
        <v>18</v>
      </c>
      <c r="I86">
        <v>1</v>
      </c>
      <c r="J86" t="s">
        <v>23</v>
      </c>
      <c r="K86" t="s">
        <v>24</v>
      </c>
      <c r="L86">
        <v>52</v>
      </c>
      <c r="M86" t="str" cm="1">
        <f t="array" ref="M86">_xlfn.IFS(L86&lt;31, "Adolescent 0-30",L86&lt;=54,"Middle Age 31-54",L86&gt;=55,"Old 55+")</f>
        <v>Middle Age 31-54</v>
      </c>
      <c r="N86" t="s">
        <v>15</v>
      </c>
    </row>
    <row r="87" spans="1:14" x14ac:dyDescent="0.2">
      <c r="A87">
        <v>16514</v>
      </c>
      <c r="B87" t="s">
        <v>37</v>
      </c>
      <c r="C87" t="s">
        <v>38</v>
      </c>
      <c r="D87" s="3">
        <v>10000</v>
      </c>
      <c r="E87">
        <v>0</v>
      </c>
      <c r="F87" t="s">
        <v>19</v>
      </c>
      <c r="G87" t="s">
        <v>25</v>
      </c>
      <c r="H87" t="s">
        <v>15</v>
      </c>
      <c r="I87">
        <v>1</v>
      </c>
      <c r="J87" t="s">
        <v>26</v>
      </c>
      <c r="K87" t="s">
        <v>24</v>
      </c>
      <c r="L87">
        <v>26</v>
      </c>
      <c r="M87" t="str" cm="1">
        <f t="array" ref="M87">_xlfn.IFS(L87&lt;31, "Adolescent 0-30",L87&lt;=54,"Middle Age 31-54",L87&gt;=55,"Old 55+")</f>
        <v>Adolescent 0-30</v>
      </c>
      <c r="N87" t="s">
        <v>15</v>
      </c>
    </row>
    <row r="88" spans="1:14" x14ac:dyDescent="0.2">
      <c r="A88">
        <v>17191</v>
      </c>
      <c r="B88" t="s">
        <v>37</v>
      </c>
      <c r="C88" t="s">
        <v>38</v>
      </c>
      <c r="D88" s="3">
        <v>130000</v>
      </c>
      <c r="E88">
        <v>3</v>
      </c>
      <c r="F88" t="s">
        <v>19</v>
      </c>
      <c r="G88" t="s">
        <v>21</v>
      </c>
      <c r="H88" t="s">
        <v>18</v>
      </c>
      <c r="I88">
        <v>3</v>
      </c>
      <c r="J88" t="s">
        <v>16</v>
      </c>
      <c r="K88" t="s">
        <v>17</v>
      </c>
      <c r="L88">
        <v>51</v>
      </c>
      <c r="M88" t="str" cm="1">
        <f t="array" ref="M88">_xlfn.IFS(L88&lt;31, "Adolescent 0-30",L88&lt;=54,"Middle Age 31-54",L88&gt;=55,"Old 55+")</f>
        <v>Middle Age 31-54</v>
      </c>
      <c r="N88" t="s">
        <v>15</v>
      </c>
    </row>
    <row r="89" spans="1:14" x14ac:dyDescent="0.2">
      <c r="A89">
        <v>19608</v>
      </c>
      <c r="B89" t="s">
        <v>36</v>
      </c>
      <c r="C89" t="s">
        <v>38</v>
      </c>
      <c r="D89" s="3">
        <v>80000</v>
      </c>
      <c r="E89">
        <v>5</v>
      </c>
      <c r="F89" t="s">
        <v>13</v>
      </c>
      <c r="G89" t="s">
        <v>21</v>
      </c>
      <c r="H89" t="s">
        <v>15</v>
      </c>
      <c r="I89">
        <v>4</v>
      </c>
      <c r="J89" t="s">
        <v>26</v>
      </c>
      <c r="K89" t="s">
        <v>24</v>
      </c>
      <c r="L89">
        <v>40</v>
      </c>
      <c r="M89" t="str" cm="1">
        <f t="array" ref="M89">_xlfn.IFS(L89&lt;31, "Adolescent 0-30",L89&lt;=54,"Middle Age 31-54",L89&gt;=55,"Old 55+")</f>
        <v>Middle Age 31-54</v>
      </c>
      <c r="N89" t="s">
        <v>18</v>
      </c>
    </row>
    <row r="90" spans="1:14" x14ac:dyDescent="0.2">
      <c r="A90">
        <v>24119</v>
      </c>
      <c r="B90" t="s">
        <v>37</v>
      </c>
      <c r="C90" t="s">
        <v>38</v>
      </c>
      <c r="D90" s="3">
        <v>30000</v>
      </c>
      <c r="E90">
        <v>0</v>
      </c>
      <c r="F90" t="s">
        <v>19</v>
      </c>
      <c r="G90" t="s">
        <v>20</v>
      </c>
      <c r="H90" t="s">
        <v>18</v>
      </c>
      <c r="I90">
        <v>1</v>
      </c>
      <c r="J90" t="s">
        <v>22</v>
      </c>
      <c r="K90" t="s">
        <v>17</v>
      </c>
      <c r="L90">
        <v>29</v>
      </c>
      <c r="M90" t="str" cm="1">
        <f t="array" ref="M90">_xlfn.IFS(L90&lt;31, "Adolescent 0-30",L90&lt;=54,"Middle Age 31-54",L90&gt;=55,"Old 55+")</f>
        <v>Adolescent 0-30</v>
      </c>
      <c r="N90" t="s">
        <v>18</v>
      </c>
    </row>
    <row r="91" spans="1:14" x14ac:dyDescent="0.2">
      <c r="A91">
        <v>25458</v>
      </c>
      <c r="B91" t="s">
        <v>36</v>
      </c>
      <c r="C91" t="s">
        <v>38</v>
      </c>
      <c r="D91" s="3">
        <v>20000</v>
      </c>
      <c r="E91">
        <v>1</v>
      </c>
      <c r="F91" t="s">
        <v>27</v>
      </c>
      <c r="G91" t="s">
        <v>25</v>
      </c>
      <c r="H91" t="s">
        <v>18</v>
      </c>
      <c r="I91">
        <v>1</v>
      </c>
      <c r="J91" t="s">
        <v>26</v>
      </c>
      <c r="K91" t="s">
        <v>17</v>
      </c>
      <c r="L91">
        <v>40</v>
      </c>
      <c r="M91" t="str" cm="1">
        <f t="array" ref="M91">_xlfn.IFS(L91&lt;31, "Adolescent 0-30",L91&lt;=54,"Middle Age 31-54",L91&gt;=55,"Old 55+")</f>
        <v>Middle Age 31-54</v>
      </c>
      <c r="N91" t="s">
        <v>15</v>
      </c>
    </row>
    <row r="92" spans="1:14" x14ac:dyDescent="0.2">
      <c r="A92">
        <v>26886</v>
      </c>
      <c r="B92" t="s">
        <v>37</v>
      </c>
      <c r="C92" t="s">
        <v>39</v>
      </c>
      <c r="D92" s="3">
        <v>30000</v>
      </c>
      <c r="E92">
        <v>0</v>
      </c>
      <c r="F92" t="s">
        <v>19</v>
      </c>
      <c r="G92" t="s">
        <v>20</v>
      </c>
      <c r="H92" t="s">
        <v>18</v>
      </c>
      <c r="I92">
        <v>1</v>
      </c>
      <c r="J92" t="s">
        <v>16</v>
      </c>
      <c r="K92" t="s">
        <v>17</v>
      </c>
      <c r="L92">
        <v>29</v>
      </c>
      <c r="M92" t="str" cm="1">
        <f t="array" ref="M92">_xlfn.IFS(L92&lt;31, "Adolescent 0-30",L92&lt;=54,"Middle Age 31-54",L92&gt;=55,"Old 55+")</f>
        <v>Adolescent 0-30</v>
      </c>
      <c r="N92" t="s">
        <v>15</v>
      </c>
    </row>
    <row r="93" spans="1:14" x14ac:dyDescent="0.2">
      <c r="A93">
        <v>28436</v>
      </c>
      <c r="B93" t="s">
        <v>37</v>
      </c>
      <c r="C93" t="s">
        <v>38</v>
      </c>
      <c r="D93" s="3">
        <v>30000</v>
      </c>
      <c r="E93">
        <v>0</v>
      </c>
      <c r="F93" t="s">
        <v>19</v>
      </c>
      <c r="G93" t="s">
        <v>20</v>
      </c>
      <c r="H93" t="s">
        <v>18</v>
      </c>
      <c r="I93">
        <v>1</v>
      </c>
      <c r="J93" t="s">
        <v>16</v>
      </c>
      <c r="K93" t="s">
        <v>17</v>
      </c>
      <c r="L93">
        <v>30</v>
      </c>
      <c r="M93" t="str" cm="1">
        <f t="array" ref="M93">_xlfn.IFS(L93&lt;31, "Adolescent 0-30",L93&lt;=54,"Middle Age 31-54",L93&gt;=55,"Old 55+")</f>
        <v>Adolescent 0-30</v>
      </c>
      <c r="N93" t="s">
        <v>15</v>
      </c>
    </row>
    <row r="94" spans="1:14" x14ac:dyDescent="0.2">
      <c r="A94">
        <v>19562</v>
      </c>
      <c r="B94" t="s">
        <v>37</v>
      </c>
      <c r="C94" t="s">
        <v>39</v>
      </c>
      <c r="D94" s="3">
        <v>60000</v>
      </c>
      <c r="E94">
        <v>2</v>
      </c>
      <c r="F94" t="s">
        <v>13</v>
      </c>
      <c r="G94" t="s">
        <v>21</v>
      </c>
      <c r="H94" t="s">
        <v>15</v>
      </c>
      <c r="I94">
        <v>1</v>
      </c>
      <c r="J94" t="s">
        <v>22</v>
      </c>
      <c r="K94" t="s">
        <v>24</v>
      </c>
      <c r="L94">
        <v>37</v>
      </c>
      <c r="M94" t="str" cm="1">
        <f t="array" ref="M94">_xlfn.IFS(L94&lt;31, "Adolescent 0-30",L94&lt;=54,"Middle Age 31-54",L94&gt;=55,"Old 55+")</f>
        <v>Middle Age 31-54</v>
      </c>
      <c r="N94" t="s">
        <v>15</v>
      </c>
    </row>
    <row r="95" spans="1:14" x14ac:dyDescent="0.2">
      <c r="A95">
        <v>15608</v>
      </c>
      <c r="B95" t="s">
        <v>37</v>
      </c>
      <c r="C95" t="s">
        <v>39</v>
      </c>
      <c r="D95" s="3">
        <v>30000</v>
      </c>
      <c r="E95">
        <v>0</v>
      </c>
      <c r="F95" t="s">
        <v>19</v>
      </c>
      <c r="G95" t="s">
        <v>20</v>
      </c>
      <c r="H95" t="s">
        <v>18</v>
      </c>
      <c r="I95">
        <v>1</v>
      </c>
      <c r="J95" t="s">
        <v>22</v>
      </c>
      <c r="K95" t="s">
        <v>17</v>
      </c>
      <c r="L95">
        <v>33</v>
      </c>
      <c r="M95" t="str" cm="1">
        <f t="array" ref="M95">_xlfn.IFS(L95&lt;31, "Adolescent 0-30",L95&lt;=54,"Middle Age 31-54",L95&gt;=55,"Old 55+")</f>
        <v>Middle Age 31-54</v>
      </c>
      <c r="N95" t="s">
        <v>18</v>
      </c>
    </row>
    <row r="96" spans="1:14" x14ac:dyDescent="0.2">
      <c r="A96">
        <v>16487</v>
      </c>
      <c r="B96" t="s">
        <v>37</v>
      </c>
      <c r="C96" t="s">
        <v>39</v>
      </c>
      <c r="D96" s="3">
        <v>30000</v>
      </c>
      <c r="E96">
        <v>3</v>
      </c>
      <c r="F96" t="s">
        <v>27</v>
      </c>
      <c r="G96" t="s">
        <v>14</v>
      </c>
      <c r="H96" t="s">
        <v>15</v>
      </c>
      <c r="I96">
        <v>2</v>
      </c>
      <c r="J96" t="s">
        <v>23</v>
      </c>
      <c r="K96" t="s">
        <v>24</v>
      </c>
      <c r="L96">
        <v>55</v>
      </c>
      <c r="M96" t="str" cm="1">
        <f t="array" ref="M96">_xlfn.IFS(L96&lt;31, "Adolescent 0-30",L96&lt;=54,"Middle Age 31-54",L96&gt;=55,"Old 55+")</f>
        <v>Old 55+</v>
      </c>
      <c r="N96" t="s">
        <v>18</v>
      </c>
    </row>
    <row r="97" spans="1:14" x14ac:dyDescent="0.2">
      <c r="A97">
        <v>17197</v>
      </c>
      <c r="B97" t="s">
        <v>37</v>
      </c>
      <c r="C97" t="s">
        <v>39</v>
      </c>
      <c r="D97" s="3">
        <v>90000</v>
      </c>
      <c r="E97">
        <v>5</v>
      </c>
      <c r="F97" t="s">
        <v>19</v>
      </c>
      <c r="G97" t="s">
        <v>21</v>
      </c>
      <c r="H97" t="s">
        <v>15</v>
      </c>
      <c r="I97">
        <v>2</v>
      </c>
      <c r="J97" t="s">
        <v>47</v>
      </c>
      <c r="K97" t="s">
        <v>17</v>
      </c>
      <c r="L97">
        <v>62</v>
      </c>
      <c r="M97" t="str" cm="1">
        <f t="array" ref="M97">_xlfn.IFS(L97&lt;31, "Adolescent 0-30",L97&lt;=54,"Middle Age 31-54",L97&gt;=55,"Old 55+")</f>
        <v>Old 55+</v>
      </c>
      <c r="N97" t="s">
        <v>18</v>
      </c>
    </row>
    <row r="98" spans="1:14" x14ac:dyDescent="0.2">
      <c r="A98">
        <v>12507</v>
      </c>
      <c r="B98" t="s">
        <v>36</v>
      </c>
      <c r="C98" t="s">
        <v>38</v>
      </c>
      <c r="D98" s="3">
        <v>30000</v>
      </c>
      <c r="E98">
        <v>1</v>
      </c>
      <c r="F98" t="s">
        <v>19</v>
      </c>
      <c r="G98" t="s">
        <v>20</v>
      </c>
      <c r="H98" t="s">
        <v>15</v>
      </c>
      <c r="I98">
        <v>1</v>
      </c>
      <c r="J98" t="s">
        <v>16</v>
      </c>
      <c r="K98" t="s">
        <v>17</v>
      </c>
      <c r="L98">
        <v>43</v>
      </c>
      <c r="M98" t="str" cm="1">
        <f t="array" ref="M98">_xlfn.IFS(L98&lt;31, "Adolescent 0-30",L98&lt;=54,"Middle Age 31-54",L98&gt;=55,"Old 55+")</f>
        <v>Middle Age 31-54</v>
      </c>
      <c r="N98" t="s">
        <v>18</v>
      </c>
    </row>
    <row r="99" spans="1:14" x14ac:dyDescent="0.2">
      <c r="A99">
        <v>23940</v>
      </c>
      <c r="B99" t="s">
        <v>36</v>
      </c>
      <c r="C99" t="s">
        <v>38</v>
      </c>
      <c r="D99" s="3">
        <v>40000</v>
      </c>
      <c r="E99">
        <v>1</v>
      </c>
      <c r="F99" t="s">
        <v>13</v>
      </c>
      <c r="G99" t="s">
        <v>14</v>
      </c>
      <c r="H99" t="s">
        <v>15</v>
      </c>
      <c r="I99">
        <v>1</v>
      </c>
      <c r="J99" t="s">
        <v>16</v>
      </c>
      <c r="K99" t="s">
        <v>17</v>
      </c>
      <c r="L99">
        <v>44</v>
      </c>
      <c r="M99" t="str" cm="1">
        <f t="array" ref="M99">_xlfn.IFS(L99&lt;31, "Adolescent 0-30",L99&lt;=54,"Middle Age 31-54",L99&gt;=55,"Old 55+")</f>
        <v>Middle Age 31-54</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cm="1">
        <f t="array" ref="M100">_xlfn.IFS(L100&lt;31, "Adolescent 0-30",L100&lt;=54,"Middle Age 31-54",L100&gt;=55,"Old 55+")</f>
        <v>Adolescent 0-30</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cm="1">
        <f t="array" ref="M101">_xlfn.IFS(L101&lt;31, "Adolescent 0-30",L101&lt;=54,"Middle Age 31-54",L101&gt;=55,"Old 55+")</f>
        <v>Middle Age 31-54</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cm="1">
        <f t="array" ref="M102">_xlfn.IFS(L102&lt;31, "Adolescent 0-30",L102&lt;=54,"Middle Age 31-54",L102&gt;=55,"Old 55+")</f>
        <v>Middle Age 31-54</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cm="1">
        <f t="array" ref="M103">_xlfn.IFS(L103&lt;31, "Adolescent 0-30",L103&lt;=54,"Middle Age 31-54",L103&gt;=55,"Old 55+")</f>
        <v>Middle Age 31-54</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cm="1">
        <f t="array" ref="M104">_xlfn.IFS(L104&lt;31, "Adolescent 0-30",L104&lt;=54,"Middle Age 31-54",L104&gt;=55,"Old 55+")</f>
        <v>Middle Age 31-54</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cm="1">
        <f t="array" ref="M105">_xlfn.IFS(L105&lt;31, "Adolescent 0-30",L105&lt;=54,"Middle Age 31-54",L105&gt;=55,"Old 55+")</f>
        <v>Middle Age 31-54</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cm="1">
        <f t="array" ref="M106">_xlfn.IFS(L106&lt;31, "Adolescent 0-30",L106&lt;=54,"Middle Age 31-54",L106&gt;=55,"Old 55+")</f>
        <v>Middle Age 31-54</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cm="1">
        <f t="array" ref="M107">_xlfn.IFS(L107&lt;31, "Adolescent 0-30",L107&lt;=54,"Middle Age 31-54",L107&gt;=55,"Old 55+")</f>
        <v>Adolescent 0-30</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cm="1">
        <f t="array" ref="M108">_xlfn.IFS(L108&lt;31, "Adolescent 0-30",L108&lt;=54,"Middle Age 31-54",L108&gt;=55,"Old 55+")</f>
        <v>Middle Age 31-54</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cm="1">
        <f t="array" ref="M109">_xlfn.IFS(L109&lt;31, "Adolescent 0-30",L109&lt;=54,"Middle Age 31-54",L109&gt;=55,"Old 55+")</f>
        <v>Middle Age 31-54</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cm="1">
        <f t="array" ref="M110">_xlfn.IFS(L110&lt;31, "Adolescent 0-30",L110&lt;=54,"Middle Age 31-54",L110&gt;=55,"Old 55+")</f>
        <v>Middle Age 31-54</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cm="1">
        <f t="array" ref="M111">_xlfn.IFS(L111&lt;31, "Adolescent 0-30",L111&lt;=54,"Middle Age 31-54",L111&gt;=55,"Old 55+")</f>
        <v>Middle Age 31-54</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cm="1">
        <f t="array" ref="M112">_xlfn.IFS(L112&lt;31, "Adolescent 0-30",L112&lt;=54,"Middle Age 31-54",L112&gt;=55,"Old 55+")</f>
        <v>Middle Age 31-54</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cm="1">
        <f t="array" ref="M113">_xlfn.IFS(L113&lt;31, "Adolescent 0-30",L113&lt;=54,"Middle Age 31-54",L113&gt;=55,"Old 55+")</f>
        <v>Middle Age 31-54</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cm="1">
        <f t="array" ref="M114">_xlfn.IFS(L114&lt;31, "Adolescent 0-30",L114&lt;=54,"Middle Age 31-54",L114&gt;=55,"Old 55+")</f>
        <v>Middle Age 31-54</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cm="1">
        <f t="array" ref="M115">_xlfn.IFS(L115&lt;31, "Adolescent 0-30",L115&lt;=54,"Middle Age 31-54",L115&gt;=55,"Old 55+")</f>
        <v>Middle Age 31-54</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cm="1">
        <f t="array" ref="M116">_xlfn.IFS(L116&lt;31, "Adolescent 0-30",L116&lt;=54,"Middle Age 31-54",L116&gt;=55,"Old 55+")</f>
        <v>Adolescent 0-30</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cm="1">
        <f t="array" ref="M117">_xlfn.IFS(L117&lt;31, "Adolescent 0-30",L117&lt;=54,"Middle Age 31-54",L117&gt;=55,"Old 55+")</f>
        <v>Adolescent 0-30</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cm="1">
        <f t="array" ref="M118">_xlfn.IFS(L118&lt;31, "Adolescent 0-30",L118&lt;=54,"Middle Age 31-54",L118&gt;=55,"Old 55+")</f>
        <v>Middle Age 31-54</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cm="1">
        <f t="array" ref="M119">_xlfn.IFS(L119&lt;31, "Adolescent 0-30",L119&lt;=54,"Middle Age 31-54",L119&gt;=55,"Old 55+")</f>
        <v>Middle Age 31-54</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cm="1">
        <f t="array" ref="M120">_xlfn.IFS(L120&lt;31, "Adolescent 0-30",L120&lt;=54,"Middle Age 31-54",L120&gt;=55,"Old 55+")</f>
        <v>Old 55+</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cm="1">
        <f t="array" ref="M121">_xlfn.IFS(L121&lt;31, "Adolescent 0-30",L121&lt;=54,"Middle Age 31-54",L121&gt;=55,"Old 55+")</f>
        <v>Adolescent 0-30</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cm="1">
        <f t="array" ref="M122">_xlfn.IFS(L122&lt;31, "Adolescent 0-30",L122&lt;=54,"Middle Age 31-54",L122&gt;=55,"Old 55+")</f>
        <v>Old 55+</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cm="1">
        <f t="array" ref="M123">_xlfn.IFS(L123&lt;31, "Adolescent 0-30",L123&lt;=54,"Middle Age 31-54",L123&gt;=55,"Old 55+")</f>
        <v>Middle Age 31-54</v>
      </c>
      <c r="N123" t="s">
        <v>18</v>
      </c>
    </row>
    <row r="124" spans="1:14" x14ac:dyDescent="0.2">
      <c r="A124">
        <v>12344</v>
      </c>
      <c r="B124" t="s">
        <v>37</v>
      </c>
      <c r="C124" t="s">
        <v>39</v>
      </c>
      <c r="D124" s="3">
        <v>80000</v>
      </c>
      <c r="E124">
        <v>0</v>
      </c>
      <c r="F124" t="s">
        <v>13</v>
      </c>
      <c r="G124" t="s">
        <v>21</v>
      </c>
      <c r="H124" t="s">
        <v>18</v>
      </c>
      <c r="I124">
        <v>3</v>
      </c>
      <c r="J124" t="s">
        <v>47</v>
      </c>
      <c r="K124" t="s">
        <v>24</v>
      </c>
      <c r="L124">
        <v>31</v>
      </c>
      <c r="M124" t="str" cm="1">
        <f t="array" ref="M124">_xlfn.IFS(L124&lt;31, "Adolescent 0-30",L124&lt;=54,"Middle Age 31-54",L124&gt;=55,"Old 55+")</f>
        <v>Middle Age 31-54</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cm="1">
        <f t="array" ref="M125">_xlfn.IFS(L125&lt;31, "Adolescent 0-30",L125&lt;=54,"Middle Age 31-54",L125&gt;=55,"Old 55+")</f>
        <v>Old 55+</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cm="1">
        <f t="array" ref="M126">_xlfn.IFS(L126&lt;31, "Adolescent 0-30",L126&lt;=54,"Middle Age 31-54",L126&gt;=55,"Old 55+")</f>
        <v>Middle Age 31-54</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cm="1">
        <f t="array" ref="M127">_xlfn.IFS(L127&lt;31, "Adolescent 0-30",L127&lt;=54,"Middle Age 31-54",L127&gt;=55,"Old 55+")</f>
        <v>Middle Age 31-54</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cm="1">
        <f t="array" ref="M128">_xlfn.IFS(L128&lt;31, "Adolescent 0-30",L128&lt;=54,"Middle Age 31-54",L128&gt;=55,"Old 55+")</f>
        <v>Middle Age 31-54</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cm="1">
        <f t="array" ref="M129">_xlfn.IFS(L129&lt;31, "Adolescent 0-30",L129&lt;=54,"Middle Age 31-54",L129&gt;=55,"Old 55+")</f>
        <v>Middle Age 31-54</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cm="1">
        <f t="array" ref="M130">_xlfn.IFS(L130&lt;31, "Adolescent 0-30",L130&lt;=54,"Middle Age 31-54",L130&gt;=55,"Old 55+")</f>
        <v>Middle Age 31-54</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cm="1">
        <f t="array" ref="M131">_xlfn.IFS(L131&lt;31, "Adolescent 0-30",L131&lt;=54,"Middle Age 31-54",L131&gt;=55,"Old 55+")</f>
        <v>Middle Age 31-54</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cm="1">
        <f t="array" ref="M132">_xlfn.IFS(L132&lt;31, "Adolescent 0-30",L132&lt;=54,"Middle Age 31-54",L132&gt;=55,"Old 55+")</f>
        <v>Middle Age 31-54</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cm="1">
        <f t="array" ref="M133">_xlfn.IFS(L133&lt;31, "Adolescent 0-30",L133&lt;=54,"Middle Age 31-54",L133&gt;=55,"Old 55+")</f>
        <v>Old 55+</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cm="1">
        <f t="array" ref="M134">_xlfn.IFS(L134&lt;31, "Adolescent 0-30",L134&lt;=54,"Middle Age 31-54",L134&gt;=55,"Old 55+")</f>
        <v>Middle Age 31-54</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cm="1">
        <f t="array" ref="M135">_xlfn.IFS(L135&lt;31, "Adolescent 0-30",L135&lt;=54,"Middle Age 31-54",L135&gt;=55,"Old 55+")</f>
        <v>Old 55+</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cm="1">
        <f t="array" ref="M136">_xlfn.IFS(L136&lt;31, "Adolescent 0-30",L136&lt;=54,"Middle Age 31-54",L136&gt;=55,"Old 55+")</f>
        <v>Middle Age 31-54</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cm="1">
        <f t="array" ref="M137">_xlfn.IFS(L137&lt;31, "Adolescent 0-30",L137&lt;=54,"Middle Age 31-54",L137&gt;=55,"Old 55+")</f>
        <v>Middle Age 31-54</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cm="1">
        <f t="array" ref="M138">_xlfn.IFS(L138&lt;31, "Adolescent 0-30",L138&lt;=54,"Middle Age 31-54",L138&gt;=55,"Old 55+")</f>
        <v>Middle Age 31-54</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cm="1">
        <f t="array" ref="M139">_xlfn.IFS(L139&lt;31, "Adolescent 0-30",L139&lt;=54,"Middle Age 31-54",L139&gt;=55,"Old 55+")</f>
        <v>Middle Age 31-54</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cm="1">
        <f t="array" ref="M140">_xlfn.IFS(L140&lt;31, "Adolescent 0-30",L140&lt;=54,"Middle Age 31-54",L140&gt;=55,"Old 55+")</f>
        <v>Old 55+</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cm="1">
        <f t="array" ref="M141">_xlfn.IFS(L141&lt;31, "Adolescent 0-30",L141&lt;=54,"Middle Age 31-54",L141&gt;=55,"Old 55+")</f>
        <v>Old 55+</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cm="1">
        <f t="array" ref="M142">_xlfn.IFS(L142&lt;31, "Adolescent 0-30",L142&lt;=54,"Middle Age 31-54",L142&gt;=55,"Old 55+")</f>
        <v>Middle Age 31-54</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cm="1">
        <f t="array" ref="M143">_xlfn.IFS(L143&lt;31, "Adolescent 0-30",L143&lt;=54,"Middle Age 31-54",L143&gt;=55,"Old 55+")</f>
        <v>Adolescent 0-30</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cm="1">
        <f t="array" ref="M144">_xlfn.IFS(L144&lt;31, "Adolescent 0-30",L144&lt;=54,"Middle Age 31-54",L144&gt;=55,"Old 55+")</f>
        <v>Middle Age 31-54</v>
      </c>
      <c r="N144" t="s">
        <v>15</v>
      </c>
    </row>
    <row r="145" spans="1:14" x14ac:dyDescent="0.2">
      <c r="A145">
        <v>16614</v>
      </c>
      <c r="B145" t="s">
        <v>36</v>
      </c>
      <c r="C145" t="s">
        <v>39</v>
      </c>
      <c r="D145" s="3">
        <v>80000</v>
      </c>
      <c r="E145">
        <v>0</v>
      </c>
      <c r="F145" t="s">
        <v>13</v>
      </c>
      <c r="G145" t="s">
        <v>21</v>
      </c>
      <c r="H145" t="s">
        <v>15</v>
      </c>
      <c r="I145">
        <v>3</v>
      </c>
      <c r="J145" t="s">
        <v>47</v>
      </c>
      <c r="K145" t="s">
        <v>24</v>
      </c>
      <c r="L145">
        <v>32</v>
      </c>
      <c r="M145" t="str" cm="1">
        <f t="array" ref="M145">_xlfn.IFS(L145&lt;31, "Adolescent 0-30",L145&lt;=54,"Middle Age 31-54",L145&gt;=55,"Old 55+")</f>
        <v>Middle Age 31-54</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cm="1">
        <f t="array" ref="M146">_xlfn.IFS(L146&lt;31, "Adolescent 0-30",L146&lt;=54,"Middle Age 31-54",L146&gt;=55,"Old 55+")</f>
        <v>Middle Age 31-54</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cm="1">
        <f t="array" ref="M147">_xlfn.IFS(L147&lt;31, "Adolescent 0-30",L147&lt;=54,"Middle Age 31-54",L147&gt;=55,"Old 55+")</f>
        <v>Middle Age 31-54</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cm="1">
        <f t="array" ref="M148">_xlfn.IFS(L148&lt;31, "Adolescent 0-30",L148&lt;=54,"Middle Age 31-54",L148&gt;=55,"Old 55+")</f>
        <v>Middle Age 31-54</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cm="1">
        <f t="array" ref="M149">_xlfn.IFS(L149&lt;31, "Adolescent 0-30",L149&lt;=54,"Middle Age 31-54",L149&gt;=55,"Old 55+")</f>
        <v>Middle Age 31-54</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cm="1">
        <f t="array" ref="M150">_xlfn.IFS(L150&lt;31, "Adolescent 0-30",L150&lt;=54,"Middle Age 31-54",L150&gt;=55,"Old 55+")</f>
        <v>Old 55+</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cm="1">
        <f t="array" ref="M151">_xlfn.IFS(L151&lt;31, "Adolescent 0-30",L151&lt;=54,"Middle Age 31-54",L151&gt;=55,"Old 55+")</f>
        <v>Adolescent 0-30</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cm="1">
        <f t="array" ref="M152">_xlfn.IFS(L152&lt;31, "Adolescent 0-30",L152&lt;=54,"Middle Age 31-54",L152&gt;=55,"Old 55+")</f>
        <v>Middle Age 31-54</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cm="1">
        <f t="array" ref="M153">_xlfn.IFS(L153&lt;31, "Adolescent 0-30",L153&lt;=54,"Middle Age 31-54",L153&gt;=55,"Old 55+")</f>
        <v>Middle Age 31-54</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cm="1">
        <f t="array" ref="M154">_xlfn.IFS(L154&lt;31, "Adolescent 0-30",L154&lt;=54,"Middle Age 31-54",L154&gt;=55,"Old 55+")</f>
        <v>Middle Age 31-54</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cm="1">
        <f t="array" ref="M155">_xlfn.IFS(L155&lt;31, "Adolescent 0-30",L155&lt;=54,"Middle Age 31-54",L155&gt;=55,"Old 55+")</f>
        <v>Middle Age 31-54</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cm="1">
        <f t="array" ref="M156">_xlfn.IFS(L156&lt;31, "Adolescent 0-30",L156&lt;=54,"Middle Age 31-54",L156&gt;=55,"Old 55+")</f>
        <v>Middle Age 31-54</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cm="1">
        <f t="array" ref="M157">_xlfn.IFS(L157&lt;31, "Adolescent 0-30",L157&lt;=54,"Middle Age 31-54",L157&gt;=55,"Old 55+")</f>
        <v>Middle Age 31-54</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cm="1">
        <f t="array" ref="M158">_xlfn.IFS(L158&lt;31, "Adolescent 0-30",L158&lt;=54,"Middle Age 31-54",L158&gt;=55,"Old 55+")</f>
        <v>Old 55+</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cm="1">
        <f t="array" ref="M159">_xlfn.IFS(L159&lt;31, "Adolescent 0-30",L159&lt;=54,"Middle Age 31-54",L159&gt;=55,"Old 55+")</f>
        <v>Middle Age 31-54</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cm="1">
        <f t="array" ref="M160">_xlfn.IFS(L160&lt;31, "Adolescent 0-30",L160&lt;=54,"Middle Age 31-54",L160&gt;=55,"Old 55+")</f>
        <v>Middle Age 31-54</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cm="1">
        <f t="array" ref="M161">_xlfn.IFS(L161&lt;31, "Adolescent 0-30",L161&lt;=54,"Middle Age 31-54",L161&gt;=55,"Old 55+")</f>
        <v>Middle Age 31-54</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cm="1">
        <f t="array" ref="M162">_xlfn.IFS(L162&lt;31, "Adolescent 0-30",L162&lt;=54,"Middle Age 31-54",L162&gt;=55,"Old 55+")</f>
        <v>Middle Age 31-54</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cm="1">
        <f t="array" ref="M163">_xlfn.IFS(L163&lt;31, "Adolescent 0-30",L163&lt;=54,"Middle Age 31-54",L163&gt;=55,"Old 55+")</f>
        <v>Middle Age 31-54</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cm="1">
        <f t="array" ref="M164">_xlfn.IFS(L164&lt;31, "Adolescent 0-30",L164&lt;=54,"Middle Age 31-54",L164&gt;=55,"Old 55+")</f>
        <v>Middle Age 31-54</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cm="1">
        <f t="array" ref="M165">_xlfn.IFS(L165&lt;31, "Adolescent 0-30",L165&lt;=54,"Middle Age 31-54",L165&gt;=55,"Old 55+")</f>
        <v>Middle Age 31-54</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cm="1">
        <f t="array" ref="M166">_xlfn.IFS(L166&lt;31, "Adolescent 0-30",L166&lt;=54,"Middle Age 31-54",L166&gt;=55,"Old 55+")</f>
        <v>Adolescent 0-30</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cm="1">
        <f t="array" ref="M167">_xlfn.IFS(L167&lt;31, "Adolescent 0-30",L167&lt;=54,"Middle Age 31-54",L167&gt;=55,"Old 55+")</f>
        <v>Adolescent 0-30</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cm="1">
        <f t="array" ref="M168">_xlfn.IFS(L168&lt;31, "Adolescent 0-30",L168&lt;=54,"Middle Age 31-54",L168&gt;=55,"Old 55+")</f>
        <v>Middle Age 31-54</v>
      </c>
      <c r="N168" t="s">
        <v>15</v>
      </c>
    </row>
    <row r="169" spans="1:14" x14ac:dyDescent="0.2">
      <c r="A169">
        <v>14233</v>
      </c>
      <c r="B169" t="s">
        <v>37</v>
      </c>
      <c r="C169" t="s">
        <v>38</v>
      </c>
      <c r="D169" s="3">
        <v>100000</v>
      </c>
      <c r="E169">
        <v>0</v>
      </c>
      <c r="F169" t="s">
        <v>27</v>
      </c>
      <c r="G169" t="s">
        <v>28</v>
      </c>
      <c r="H169" t="s">
        <v>15</v>
      </c>
      <c r="I169">
        <v>3</v>
      </c>
      <c r="J169" t="s">
        <v>47</v>
      </c>
      <c r="K169" t="s">
        <v>24</v>
      </c>
      <c r="L169">
        <v>35</v>
      </c>
      <c r="M169" t="str" cm="1">
        <f t="array" ref="M169">_xlfn.IFS(L169&lt;31, "Adolescent 0-30",L169&lt;=54,"Middle Age 31-54",L169&gt;=55,"Old 55+")</f>
        <v>Middle Age 31-54</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cm="1">
        <f t="array" ref="M170">_xlfn.IFS(L170&lt;31, "Adolescent 0-30",L170&lt;=54,"Middle Age 31-54",L170&gt;=55,"Old 55+")</f>
        <v>Middle Age 31-54</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cm="1">
        <f t="array" ref="M171">_xlfn.IFS(L171&lt;31, "Adolescent 0-30",L171&lt;=54,"Middle Age 31-54",L171&gt;=55,"Old 55+")</f>
        <v>Middle Age 31-54</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cm="1">
        <f t="array" ref="M172">_xlfn.IFS(L172&lt;31, "Adolescent 0-30",L172&lt;=54,"Middle Age 31-54",L172&gt;=55,"Old 55+")</f>
        <v>Old 55+</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cm="1">
        <f t="array" ref="M173">_xlfn.IFS(L173&lt;31, "Adolescent 0-30",L173&lt;=54,"Middle Age 31-54",L173&gt;=55,"Old 55+")</f>
        <v>Old 55+</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cm="1">
        <f t="array" ref="M174">_xlfn.IFS(L174&lt;31, "Adolescent 0-30",L174&lt;=54,"Middle Age 31-54",L174&gt;=55,"Old 55+")</f>
        <v>Middle Age 31-54</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cm="1">
        <f t="array" ref="M175">_xlfn.IFS(L175&lt;31, "Adolescent 0-30",L175&lt;=54,"Middle Age 31-54",L175&gt;=55,"Old 55+")</f>
        <v>Adolescent 0-30</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cm="1">
        <f t="array" ref="M176">_xlfn.IFS(L176&lt;31, "Adolescent 0-30",L176&lt;=54,"Middle Age 31-54",L176&gt;=55,"Old 55+")</f>
        <v>Middle Age 31-54</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cm="1">
        <f t="array" ref="M177">_xlfn.IFS(L177&lt;31, "Adolescent 0-30",L177&lt;=54,"Middle Age 31-54",L177&gt;=55,"Old 55+")</f>
        <v>Middle Age 31-54</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cm="1">
        <f t="array" ref="M178">_xlfn.IFS(L178&lt;31, "Adolescent 0-30",L178&lt;=54,"Middle Age 31-54",L178&gt;=55,"Old 55+")</f>
        <v>Adolescent 0-30</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cm="1">
        <f t="array" ref="M179">_xlfn.IFS(L179&lt;31, "Adolescent 0-30",L179&lt;=54,"Middle Age 31-54",L179&gt;=55,"Old 55+")</f>
        <v>Middle Age 31-54</v>
      </c>
      <c r="N179" t="s">
        <v>18</v>
      </c>
    </row>
    <row r="180" spans="1:14" x14ac:dyDescent="0.2">
      <c r="A180">
        <v>14191</v>
      </c>
      <c r="B180" t="s">
        <v>36</v>
      </c>
      <c r="C180" t="s">
        <v>38</v>
      </c>
      <c r="D180" s="3">
        <v>160000</v>
      </c>
      <c r="E180">
        <v>4</v>
      </c>
      <c r="F180" t="s">
        <v>19</v>
      </c>
      <c r="G180" t="s">
        <v>21</v>
      </c>
      <c r="H180" t="s">
        <v>18</v>
      </c>
      <c r="I180">
        <v>2</v>
      </c>
      <c r="J180" t="s">
        <v>47</v>
      </c>
      <c r="K180" t="s">
        <v>17</v>
      </c>
      <c r="L180">
        <v>55</v>
      </c>
      <c r="M180" t="str" cm="1">
        <f t="array" ref="M180">_xlfn.IFS(L180&lt;31, "Adolescent 0-30",L180&lt;=54,"Middle Age 31-54",L180&gt;=55,"Old 55+")</f>
        <v>Old 55+</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cm="1">
        <f t="array" ref="M181">_xlfn.IFS(L181&lt;31, "Adolescent 0-30",L181&lt;=54,"Middle Age 31-54",L181&gt;=55,"Old 55+")</f>
        <v>Middle Age 31-54</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cm="1">
        <f t="array" ref="M182">_xlfn.IFS(L182&lt;31, "Adolescent 0-30",L182&lt;=54,"Middle Age 31-54",L182&gt;=55,"Old 55+")</f>
        <v>Middle Age 31-54</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cm="1">
        <f t="array" ref="M183">_xlfn.IFS(L183&lt;31, "Adolescent 0-30",L183&lt;=54,"Middle Age 31-54",L183&gt;=55,"Old 55+")</f>
        <v>Old 55+</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cm="1">
        <f t="array" ref="M184">_xlfn.IFS(L184&lt;31, "Adolescent 0-30",L184&lt;=54,"Middle Age 31-54",L184&gt;=55,"Old 55+")</f>
        <v>Middle Age 31-54</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cm="1">
        <f t="array" ref="M185">_xlfn.IFS(L185&lt;31, "Adolescent 0-30",L185&lt;=54,"Middle Age 31-54",L185&gt;=55,"Old 55+")</f>
        <v>Old 55+</v>
      </c>
      <c r="N185" t="s">
        <v>15</v>
      </c>
    </row>
    <row r="186" spans="1:14" x14ac:dyDescent="0.2">
      <c r="A186">
        <v>28918</v>
      </c>
      <c r="B186" t="s">
        <v>36</v>
      </c>
      <c r="C186" t="s">
        <v>39</v>
      </c>
      <c r="D186" s="3">
        <v>130000</v>
      </c>
      <c r="E186">
        <v>4</v>
      </c>
      <c r="F186" t="s">
        <v>27</v>
      </c>
      <c r="G186" t="s">
        <v>28</v>
      </c>
      <c r="H186" t="s">
        <v>18</v>
      </c>
      <c r="I186">
        <v>4</v>
      </c>
      <c r="J186" t="s">
        <v>47</v>
      </c>
      <c r="K186" t="s">
        <v>17</v>
      </c>
      <c r="L186">
        <v>58</v>
      </c>
      <c r="M186" t="str" cm="1">
        <f t="array" ref="M186">_xlfn.IFS(L186&lt;31, "Adolescent 0-30",L186&lt;=54,"Middle Age 31-54",L186&gt;=55,"Old 55+")</f>
        <v>Old 55+</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cm="1">
        <f t="array" ref="M187">_xlfn.IFS(L187&lt;31, "Adolescent 0-30",L187&lt;=54,"Middle Age 31-54",L187&gt;=55,"Old 55+")</f>
        <v>Middle Age 31-54</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cm="1">
        <f t="array" ref="M188">_xlfn.IFS(L188&lt;31, "Adolescent 0-30",L188&lt;=54,"Middle Age 31-54",L188&gt;=55,"Old 55+")</f>
        <v>Old 55+</v>
      </c>
      <c r="N188" t="s">
        <v>15</v>
      </c>
    </row>
    <row r="189" spans="1:14" x14ac:dyDescent="0.2">
      <c r="A189">
        <v>18151</v>
      </c>
      <c r="B189" t="s">
        <v>37</v>
      </c>
      <c r="C189" t="s">
        <v>38</v>
      </c>
      <c r="D189" s="3">
        <v>80000</v>
      </c>
      <c r="E189">
        <v>5</v>
      </c>
      <c r="F189" t="s">
        <v>19</v>
      </c>
      <c r="G189" t="s">
        <v>21</v>
      </c>
      <c r="H189" t="s">
        <v>18</v>
      </c>
      <c r="I189">
        <v>2</v>
      </c>
      <c r="J189" t="s">
        <v>47</v>
      </c>
      <c r="K189" t="s">
        <v>17</v>
      </c>
      <c r="L189">
        <v>59</v>
      </c>
      <c r="M189" t="str" cm="1">
        <f t="array" ref="M189">_xlfn.IFS(L189&lt;31, "Adolescent 0-30",L189&lt;=54,"Middle Age 31-54",L189&gt;=55,"Old 55+")</f>
        <v>Old 55+</v>
      </c>
      <c r="N189" t="s">
        <v>18</v>
      </c>
    </row>
    <row r="190" spans="1:14" x14ac:dyDescent="0.2">
      <c r="A190">
        <v>20606</v>
      </c>
      <c r="B190" t="s">
        <v>36</v>
      </c>
      <c r="C190" t="s">
        <v>39</v>
      </c>
      <c r="D190" s="3">
        <v>70000</v>
      </c>
      <c r="E190">
        <v>0</v>
      </c>
      <c r="F190" t="s">
        <v>13</v>
      </c>
      <c r="G190" t="s">
        <v>21</v>
      </c>
      <c r="H190" t="s">
        <v>15</v>
      </c>
      <c r="I190">
        <v>4</v>
      </c>
      <c r="J190" t="s">
        <v>47</v>
      </c>
      <c r="K190" t="s">
        <v>24</v>
      </c>
      <c r="L190">
        <v>32</v>
      </c>
      <c r="M190" t="str" cm="1">
        <f t="array" ref="M190">_xlfn.IFS(L190&lt;31, "Adolescent 0-30",L190&lt;=54,"Middle Age 31-54",L190&gt;=55,"Old 55+")</f>
        <v>Middle Age 31-54</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cm="1">
        <f t="array" ref="M191">_xlfn.IFS(L191&lt;31, "Adolescent 0-30",L191&lt;=54,"Middle Age 31-54",L191&gt;=55,"Old 55+")</f>
        <v>Middle Age 31-54</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cm="1">
        <f t="array" ref="M192">_xlfn.IFS(L192&lt;31, "Adolescent 0-30",L192&lt;=54,"Middle Age 31-54",L192&gt;=55,"Old 55+")</f>
        <v>Old 55+</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cm="1">
        <f t="array" ref="M193">_xlfn.IFS(L193&lt;31, "Adolescent 0-30",L193&lt;=54,"Middle Age 31-54",L193&gt;=55,"Old 55+")</f>
        <v>Middle Age 31-54</v>
      </c>
      <c r="N193" t="s">
        <v>15</v>
      </c>
    </row>
    <row r="194" spans="1:14" x14ac:dyDescent="0.2">
      <c r="A194">
        <v>15682</v>
      </c>
      <c r="B194" t="s">
        <v>37</v>
      </c>
      <c r="C194" t="s">
        <v>39</v>
      </c>
      <c r="D194" s="3">
        <v>80000</v>
      </c>
      <c r="E194">
        <v>5</v>
      </c>
      <c r="F194" t="s">
        <v>13</v>
      </c>
      <c r="G194" t="s">
        <v>28</v>
      </c>
      <c r="H194" t="s">
        <v>15</v>
      </c>
      <c r="I194">
        <v>2</v>
      </c>
      <c r="J194" t="s">
        <v>47</v>
      </c>
      <c r="K194" t="s">
        <v>17</v>
      </c>
      <c r="L194">
        <v>62</v>
      </c>
      <c r="M194" t="str" cm="1">
        <f t="array" ref="M194">_xlfn.IFS(L194&lt;31, "Adolescent 0-30",L194&lt;=54,"Middle Age 31-54",L194&gt;=55,"Old 55+")</f>
        <v>Old 55+</v>
      </c>
      <c r="N194" t="s">
        <v>18</v>
      </c>
    </row>
    <row r="195" spans="1:14" x14ac:dyDescent="0.2">
      <c r="A195">
        <v>26032</v>
      </c>
      <c r="B195" t="s">
        <v>36</v>
      </c>
      <c r="C195" t="s">
        <v>39</v>
      </c>
      <c r="D195" s="3">
        <v>70000</v>
      </c>
      <c r="E195">
        <v>5</v>
      </c>
      <c r="F195" t="s">
        <v>13</v>
      </c>
      <c r="G195" t="s">
        <v>21</v>
      </c>
      <c r="H195" t="s">
        <v>15</v>
      </c>
      <c r="I195">
        <v>4</v>
      </c>
      <c r="J195" t="s">
        <v>47</v>
      </c>
      <c r="K195" t="s">
        <v>24</v>
      </c>
      <c r="L195">
        <v>41</v>
      </c>
      <c r="M195" t="str" cm="1">
        <f t="array" ref="M195">_xlfn.IFS(L195&lt;31, "Adolescent 0-30",L195&lt;=54,"Middle Age 31-54",L195&gt;=55,"Old 55+")</f>
        <v>Middle Age 31-54</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cm="1">
        <f t="array" ref="M196">_xlfn.IFS(L196&lt;31, "Adolescent 0-30",L196&lt;=54,"Middle Age 31-54",L196&gt;=55,"Old 55+")</f>
        <v>Middle Age 31-54</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cm="1">
        <f t="array" ref="M197">_xlfn.IFS(L197&lt;31, "Adolescent 0-30",L197&lt;=54,"Middle Age 31-54",L197&gt;=55,"Old 55+")</f>
        <v>Adolescent 0-30</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cm="1">
        <f t="array" ref="M198">_xlfn.IFS(L198&lt;31, "Adolescent 0-30",L198&lt;=54,"Middle Age 31-54",L198&gt;=55,"Old 55+")</f>
        <v>Middle Age 31-54</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cm="1">
        <f t="array" ref="M199">_xlfn.IFS(L199&lt;31, "Adolescent 0-30",L199&lt;=54,"Middle Age 31-54",L199&gt;=55,"Old 55+")</f>
        <v>Old 55+</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cm="1">
        <f t="array" ref="M200">_xlfn.IFS(L200&lt;31, "Adolescent 0-30",L200&lt;=54,"Middle Age 31-54",L200&gt;=55,"Old 55+")</f>
        <v>Middle Age 31-54</v>
      </c>
      <c r="N200" t="s">
        <v>15</v>
      </c>
    </row>
    <row r="201" spans="1:14" x14ac:dyDescent="0.2">
      <c r="A201">
        <v>11453</v>
      </c>
      <c r="B201" t="s">
        <v>37</v>
      </c>
      <c r="C201" t="s">
        <v>38</v>
      </c>
      <c r="D201" s="3">
        <v>80000</v>
      </c>
      <c r="E201">
        <v>0</v>
      </c>
      <c r="F201" t="s">
        <v>13</v>
      </c>
      <c r="G201" t="s">
        <v>21</v>
      </c>
      <c r="H201" t="s">
        <v>18</v>
      </c>
      <c r="I201">
        <v>3</v>
      </c>
      <c r="J201" t="s">
        <v>47</v>
      </c>
      <c r="K201" t="s">
        <v>24</v>
      </c>
      <c r="L201">
        <v>33</v>
      </c>
      <c r="M201" t="str" cm="1">
        <f t="array" ref="M201">_xlfn.IFS(L201&lt;31, "Adolescent 0-30",L201&lt;=54,"Middle Age 31-54",L201&gt;=55,"Old 55+")</f>
        <v>Middle Age 31-54</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cm="1">
        <f t="array" ref="M202">_xlfn.IFS(L202&lt;31, "Adolescent 0-30",L202&lt;=54,"Middle Age 31-54",L202&gt;=55,"Old 55+")</f>
        <v>Middle Age 31-54</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cm="1">
        <f t="array" ref="M203">_xlfn.IFS(L203&lt;31, "Adolescent 0-30",L203&lt;=54,"Middle Age 31-54",L203&gt;=55,"Old 55+")</f>
        <v>Adolescent 0-30</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cm="1">
        <f t="array" ref="M204">_xlfn.IFS(L204&lt;31, "Adolescent 0-30",L204&lt;=54,"Middle Age 31-54",L204&gt;=55,"Old 55+")</f>
        <v>Middle Age 31-54</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cm="1">
        <f t="array" ref="M205">_xlfn.IFS(L205&lt;31, "Adolescent 0-30",L205&lt;=54,"Middle Age 31-54",L205&gt;=55,"Old 55+")</f>
        <v>Middle Age 31-54</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cm="1">
        <f t="array" ref="M206">_xlfn.IFS(L206&lt;31, "Adolescent 0-30",L206&lt;=54,"Middle Age 31-54",L206&gt;=55,"Old 55+")</f>
        <v>Middle Age 31-54</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cm="1">
        <f t="array" ref="M207">_xlfn.IFS(L207&lt;31, "Adolescent 0-30",L207&lt;=54,"Middle Age 31-54",L207&gt;=55,"Old 55+")</f>
        <v>Middle Age 31-54</v>
      </c>
      <c r="N207" t="s">
        <v>15</v>
      </c>
    </row>
    <row r="208" spans="1:14" x14ac:dyDescent="0.2">
      <c r="A208">
        <v>11415</v>
      </c>
      <c r="B208" t="s">
        <v>37</v>
      </c>
      <c r="C208" t="s">
        <v>38</v>
      </c>
      <c r="D208" s="3">
        <v>90000</v>
      </c>
      <c r="E208">
        <v>5</v>
      </c>
      <c r="F208" t="s">
        <v>19</v>
      </c>
      <c r="G208" t="s">
        <v>21</v>
      </c>
      <c r="H208" t="s">
        <v>18</v>
      </c>
      <c r="I208">
        <v>2</v>
      </c>
      <c r="J208" t="s">
        <v>47</v>
      </c>
      <c r="K208" t="s">
        <v>17</v>
      </c>
      <c r="L208">
        <v>62</v>
      </c>
      <c r="M208" t="str" cm="1">
        <f t="array" ref="M208">_xlfn.IFS(L208&lt;31, "Adolescent 0-30",L208&lt;=54,"Middle Age 31-54",L208&gt;=55,"Old 55+")</f>
        <v>Old 55+</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cm="1">
        <f t="array" ref="M209">_xlfn.IFS(L209&lt;31, "Adolescent 0-30",L209&lt;=54,"Middle Age 31-54",L209&gt;=55,"Old 55+")</f>
        <v>Adolescent 0-30</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cm="1">
        <f t="array" ref="M210">_xlfn.IFS(L210&lt;31, "Adolescent 0-30",L210&lt;=54,"Middle Age 31-54",L210&gt;=55,"Old 55+")</f>
        <v>Middle Age 31-54</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cm="1">
        <f t="array" ref="M211">_xlfn.IFS(L211&lt;31, "Adolescent 0-30",L211&lt;=54,"Middle Age 31-54",L211&gt;=55,"Old 55+")</f>
        <v>Middle Age 31-54</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cm="1">
        <f t="array" ref="M212">_xlfn.IFS(L212&lt;31, "Adolescent 0-30",L212&lt;=54,"Middle Age 31-54",L212&gt;=55,"Old 55+")</f>
        <v>Middle Age 31-54</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cm="1">
        <f t="array" ref="M213">_xlfn.IFS(L213&lt;31, "Adolescent 0-30",L213&lt;=54,"Middle Age 31-54",L213&gt;=55,"Old 55+")</f>
        <v>Middle Age 31-54</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cm="1">
        <f t="array" ref="M214">_xlfn.IFS(L214&lt;31, "Adolescent 0-30",L214&lt;=54,"Middle Age 31-54",L214&gt;=55,"Old 55+")</f>
        <v>Adolescent 0-30</v>
      </c>
      <c r="N214" t="s">
        <v>18</v>
      </c>
    </row>
    <row r="215" spans="1:14" x14ac:dyDescent="0.2">
      <c r="A215">
        <v>11451</v>
      </c>
      <c r="B215" t="s">
        <v>37</v>
      </c>
      <c r="C215" t="s">
        <v>38</v>
      </c>
      <c r="D215" s="3">
        <v>70000</v>
      </c>
      <c r="E215">
        <v>0</v>
      </c>
      <c r="F215" t="s">
        <v>13</v>
      </c>
      <c r="G215" t="s">
        <v>21</v>
      </c>
      <c r="H215" t="s">
        <v>18</v>
      </c>
      <c r="I215">
        <v>4</v>
      </c>
      <c r="J215" t="s">
        <v>47</v>
      </c>
      <c r="K215" t="s">
        <v>24</v>
      </c>
      <c r="L215">
        <v>31</v>
      </c>
      <c r="M215" t="str" cm="1">
        <f t="array" ref="M215">_xlfn.IFS(L215&lt;31, "Adolescent 0-30",L215&lt;=54,"Middle Age 31-54",L215&gt;=55,"Old 55+")</f>
        <v>Middle Age 31-54</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cm="1">
        <f t="array" ref="M216">_xlfn.IFS(L216&lt;31, "Adolescent 0-30",L216&lt;=54,"Middle Age 31-54",L216&gt;=55,"Old 55+")</f>
        <v>Old 55+</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cm="1">
        <f t="array" ref="M217">_xlfn.IFS(L217&lt;31, "Adolescent 0-30",L217&lt;=54,"Middle Age 31-54",L217&gt;=55,"Old 55+")</f>
        <v>Middle Age 31-54</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cm="1">
        <f t="array" ref="M218">_xlfn.IFS(L218&lt;31, "Adolescent 0-30",L218&lt;=54,"Middle Age 31-54",L218&gt;=55,"Old 55+")</f>
        <v>Middle Age 31-54</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cm="1">
        <f t="array" ref="M219">_xlfn.IFS(L219&lt;31, "Adolescent 0-30",L219&lt;=54,"Middle Age 31-54",L219&gt;=55,"Old 55+")</f>
        <v>Adolescent 0-30</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cm="1">
        <f t="array" ref="M220">_xlfn.IFS(L220&lt;31, "Adolescent 0-30",L220&lt;=54,"Middle Age 31-54",L220&gt;=55,"Old 55+")</f>
        <v>Middle Age 31-54</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cm="1">
        <f t="array" ref="M221">_xlfn.IFS(L221&lt;31, "Adolescent 0-30",L221&lt;=54,"Middle Age 31-54",L221&gt;=55,"Old 55+")</f>
        <v>Adolescent 0-30</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cm="1">
        <f t="array" ref="M222">_xlfn.IFS(L222&lt;31, "Adolescent 0-30",L222&lt;=54,"Middle Age 31-54",L222&gt;=55,"Old 55+")</f>
        <v>Middle Age 31-54</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cm="1">
        <f t="array" ref="M223">_xlfn.IFS(L223&lt;31, "Adolescent 0-30",L223&lt;=54,"Middle Age 31-54",L223&gt;=55,"Old 55+")</f>
        <v>Middle Age 31-54</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cm="1">
        <f t="array" ref="M224">_xlfn.IFS(L224&lt;31, "Adolescent 0-30",L224&lt;=54,"Middle Age 31-54",L224&gt;=55,"Old 55+")</f>
        <v>Middle Age 31-54</v>
      </c>
      <c r="N224" t="s">
        <v>18</v>
      </c>
    </row>
    <row r="225" spans="1:14" x14ac:dyDescent="0.2">
      <c r="A225">
        <v>18711</v>
      </c>
      <c r="B225" t="s">
        <v>37</v>
      </c>
      <c r="C225" t="s">
        <v>39</v>
      </c>
      <c r="D225" s="3">
        <v>70000</v>
      </c>
      <c r="E225">
        <v>5</v>
      </c>
      <c r="F225" t="s">
        <v>13</v>
      </c>
      <c r="G225" t="s">
        <v>21</v>
      </c>
      <c r="H225" t="s">
        <v>15</v>
      </c>
      <c r="I225">
        <v>4</v>
      </c>
      <c r="J225" t="s">
        <v>47</v>
      </c>
      <c r="K225" t="s">
        <v>24</v>
      </c>
      <c r="L225">
        <v>39</v>
      </c>
      <c r="M225" t="str" cm="1">
        <f t="array" ref="M225">_xlfn.IFS(L225&lt;31, "Adolescent 0-30",L225&lt;=54,"Middle Age 31-54",L225&gt;=55,"Old 55+")</f>
        <v>Middle Age 31-54</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cm="1">
        <f t="array" ref="M226">_xlfn.IFS(L226&lt;31, "Adolescent 0-30",L226&lt;=54,"Middle Age 31-54",L226&gt;=55,"Old 55+")</f>
        <v>Old 55+</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cm="1">
        <f t="array" ref="M227">_xlfn.IFS(L227&lt;31, "Adolescent 0-30",L227&lt;=54,"Middle Age 31-54",L227&gt;=55,"Old 55+")</f>
        <v>Middle Age 31-54</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cm="1">
        <f t="array" ref="M228">_xlfn.IFS(L228&lt;31, "Adolescent 0-30",L228&lt;=54,"Middle Age 31-54",L228&gt;=55,"Old 55+")</f>
        <v>Middle Age 31-54</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cm="1">
        <f t="array" ref="M229">_xlfn.IFS(L229&lt;31, "Adolescent 0-30",L229&lt;=54,"Middle Age 31-54",L229&gt;=55,"Old 55+")</f>
        <v>Middle Age 31-54</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cm="1">
        <f t="array" ref="M230">_xlfn.IFS(L230&lt;31, "Adolescent 0-30",L230&lt;=54,"Middle Age 31-54",L230&gt;=55,"Old 55+")</f>
        <v>Middle Age 31-54</v>
      </c>
      <c r="N230" t="s">
        <v>18</v>
      </c>
    </row>
    <row r="231" spans="1:14" x14ac:dyDescent="0.2">
      <c r="A231">
        <v>28915</v>
      </c>
      <c r="B231" t="s">
        <v>37</v>
      </c>
      <c r="C231" t="s">
        <v>38</v>
      </c>
      <c r="D231" s="3">
        <v>80000</v>
      </c>
      <c r="E231">
        <v>5</v>
      </c>
      <c r="F231" t="s">
        <v>27</v>
      </c>
      <c r="G231" t="s">
        <v>28</v>
      </c>
      <c r="H231" t="s">
        <v>15</v>
      </c>
      <c r="I231">
        <v>3</v>
      </c>
      <c r="J231" t="s">
        <v>47</v>
      </c>
      <c r="K231" t="s">
        <v>17</v>
      </c>
      <c r="L231">
        <v>57</v>
      </c>
      <c r="M231" t="str" cm="1">
        <f t="array" ref="M231">_xlfn.IFS(L231&lt;31, "Adolescent 0-30",L231&lt;=54,"Middle Age 31-54",L231&gt;=55,"Old 55+")</f>
        <v>Old 55+</v>
      </c>
      <c r="N231" t="s">
        <v>18</v>
      </c>
    </row>
    <row r="232" spans="1:14" x14ac:dyDescent="0.2">
      <c r="A232">
        <v>22830</v>
      </c>
      <c r="B232" t="s">
        <v>36</v>
      </c>
      <c r="C232" t="s">
        <v>38</v>
      </c>
      <c r="D232" s="3">
        <v>120000</v>
      </c>
      <c r="E232">
        <v>4</v>
      </c>
      <c r="F232" t="s">
        <v>19</v>
      </c>
      <c r="G232" t="s">
        <v>28</v>
      </c>
      <c r="H232" t="s">
        <v>15</v>
      </c>
      <c r="I232">
        <v>3</v>
      </c>
      <c r="J232" t="s">
        <v>47</v>
      </c>
      <c r="K232" t="s">
        <v>17</v>
      </c>
      <c r="L232">
        <v>56</v>
      </c>
      <c r="M232" t="str" cm="1">
        <f t="array" ref="M232">_xlfn.IFS(L232&lt;31, "Adolescent 0-30",L232&lt;=54,"Middle Age 31-54",L232&gt;=55,"Old 55+")</f>
        <v>Old 55+</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cm="1">
        <f t="array" ref="M233">_xlfn.IFS(L233&lt;31, "Adolescent 0-30",L233&lt;=54,"Middle Age 31-54",L233&gt;=55,"Old 55+")</f>
        <v>Middle Age 31-54</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cm="1">
        <f t="array" ref="M234">_xlfn.IFS(L234&lt;31, "Adolescent 0-30",L234&lt;=54,"Middle Age 31-54",L234&gt;=55,"Old 55+")</f>
        <v>Middle Age 31-54</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cm="1">
        <f t="array" ref="M235">_xlfn.IFS(L235&lt;31, "Adolescent 0-30",L235&lt;=54,"Middle Age 31-54",L235&gt;=55,"Old 55+")</f>
        <v>Adolescent 0-30</v>
      </c>
      <c r="N235" t="s">
        <v>15</v>
      </c>
    </row>
    <row r="236" spans="1:14" x14ac:dyDescent="0.2">
      <c r="A236">
        <v>24611</v>
      </c>
      <c r="B236" t="s">
        <v>37</v>
      </c>
      <c r="C236" t="s">
        <v>38</v>
      </c>
      <c r="D236" s="3">
        <v>90000</v>
      </c>
      <c r="E236">
        <v>0</v>
      </c>
      <c r="F236" t="s">
        <v>13</v>
      </c>
      <c r="G236" t="s">
        <v>21</v>
      </c>
      <c r="H236" t="s">
        <v>18</v>
      </c>
      <c r="I236">
        <v>4</v>
      </c>
      <c r="J236" t="s">
        <v>47</v>
      </c>
      <c r="K236" t="s">
        <v>24</v>
      </c>
      <c r="L236">
        <v>35</v>
      </c>
      <c r="M236" t="str" cm="1">
        <f t="array" ref="M236">_xlfn.IFS(L236&lt;31, "Adolescent 0-30",L236&lt;=54,"Middle Age 31-54",L236&gt;=55,"Old 55+")</f>
        <v>Middle Age 31-54</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cm="1">
        <f t="array" ref="M237">_xlfn.IFS(L237&lt;31, "Adolescent 0-30",L237&lt;=54,"Middle Age 31-54",L237&gt;=55,"Old 55+")</f>
        <v>Old 55+</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cm="1">
        <f t="array" ref="M238">_xlfn.IFS(L238&lt;31, "Adolescent 0-30",L238&lt;=54,"Middle Age 31-54",L238&gt;=55,"Old 55+")</f>
        <v>Middle Age 31-54</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cm="1">
        <f t="array" ref="M239">_xlfn.IFS(L239&lt;31, "Adolescent 0-30",L239&lt;=54,"Middle Age 31-54",L239&gt;=55,"Old 55+")</f>
        <v>Adolescent 0-30</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cm="1">
        <f t="array" ref="M240">_xlfn.IFS(L240&lt;31, "Adolescent 0-30",L240&lt;=54,"Middle Age 31-54",L240&gt;=55,"Old 55+")</f>
        <v>Middle Age 31-54</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cm="1">
        <f t="array" ref="M241">_xlfn.IFS(L241&lt;31, "Adolescent 0-30",L241&lt;=54,"Middle Age 31-54",L241&gt;=55,"Old 55+")</f>
        <v>Middle Age 31-54</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cm="1">
        <f t="array" ref="M242">_xlfn.IFS(L242&lt;31, "Adolescent 0-30",L242&lt;=54,"Middle Age 31-54",L242&gt;=55,"Old 55+")</f>
        <v>Middle Age 31-54</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cm="1">
        <f t="array" ref="M243">_xlfn.IFS(L243&lt;31, "Adolescent 0-30",L243&lt;=54,"Middle Age 31-54",L243&gt;=55,"Old 55+")</f>
        <v>Adolescent 0-30</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cm="1">
        <f t="array" ref="M244">_xlfn.IFS(L244&lt;31, "Adolescent 0-30",L244&lt;=54,"Middle Age 31-54",L244&gt;=55,"Old 55+")</f>
        <v>Middle Age 31-54</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cm="1">
        <f t="array" ref="M245">_xlfn.IFS(L245&lt;31, "Adolescent 0-30",L245&lt;=54,"Middle Age 31-54",L245&gt;=55,"Old 55+")</f>
        <v>Adolescent 0-30</v>
      </c>
      <c r="N245" t="s">
        <v>18</v>
      </c>
    </row>
    <row r="246" spans="1:14" x14ac:dyDescent="0.2">
      <c r="A246">
        <v>19057</v>
      </c>
      <c r="B246" t="s">
        <v>36</v>
      </c>
      <c r="C246" t="s">
        <v>39</v>
      </c>
      <c r="D246" s="3">
        <v>120000</v>
      </c>
      <c r="E246">
        <v>3</v>
      </c>
      <c r="F246" t="s">
        <v>13</v>
      </c>
      <c r="G246" t="s">
        <v>28</v>
      </c>
      <c r="H246" t="s">
        <v>18</v>
      </c>
      <c r="I246">
        <v>2</v>
      </c>
      <c r="J246" t="s">
        <v>47</v>
      </c>
      <c r="K246" t="s">
        <v>17</v>
      </c>
      <c r="L246">
        <v>52</v>
      </c>
      <c r="M246" t="str" cm="1">
        <f t="array" ref="M246">_xlfn.IFS(L246&lt;31, "Adolescent 0-30",L246&lt;=54,"Middle Age 31-54",L246&gt;=55,"Old 55+")</f>
        <v>Middle Age 31-54</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cm="1">
        <f t="array" ref="M247">_xlfn.IFS(L247&lt;31, "Adolescent 0-30",L247&lt;=54,"Middle Age 31-54",L247&gt;=55,"Old 55+")</f>
        <v>Middle Age 31-54</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cm="1">
        <f t="array" ref="M248">_xlfn.IFS(L248&lt;31, "Adolescent 0-30",L248&lt;=54,"Middle Age 31-54",L248&gt;=55,"Old 55+")</f>
        <v>Middle Age 31-54</v>
      </c>
      <c r="N248" t="s">
        <v>15</v>
      </c>
    </row>
    <row r="249" spans="1:14" x14ac:dyDescent="0.2">
      <c r="A249">
        <v>21568</v>
      </c>
      <c r="B249" t="s">
        <v>36</v>
      </c>
      <c r="C249" t="s">
        <v>39</v>
      </c>
      <c r="D249" s="3">
        <v>100000</v>
      </c>
      <c r="E249">
        <v>0</v>
      </c>
      <c r="F249" t="s">
        <v>27</v>
      </c>
      <c r="G249" t="s">
        <v>28</v>
      </c>
      <c r="H249" t="s">
        <v>15</v>
      </c>
      <c r="I249">
        <v>4</v>
      </c>
      <c r="J249" t="s">
        <v>47</v>
      </c>
      <c r="K249" t="s">
        <v>24</v>
      </c>
      <c r="L249">
        <v>34</v>
      </c>
      <c r="M249" t="str" cm="1">
        <f t="array" ref="M249">_xlfn.IFS(L249&lt;31, "Adolescent 0-30",L249&lt;=54,"Middle Age 31-54",L249&gt;=55,"Old 55+")</f>
        <v>Middle Age 31-54</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cm="1">
        <f t="array" ref="M250">_xlfn.IFS(L250&lt;31, "Adolescent 0-30",L250&lt;=54,"Middle Age 31-54",L250&gt;=55,"Old 55+")</f>
        <v>Old 55+</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cm="1">
        <f t="array" ref="M251">_xlfn.IFS(L251&lt;31, "Adolescent 0-30",L251&lt;=54,"Middle Age 31-54",L251&gt;=55,"Old 55+")</f>
        <v>Middle Age 31-54</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cm="1">
        <f t="array" ref="M252">_xlfn.IFS(L252&lt;31, "Adolescent 0-30",L252&lt;=54,"Middle Age 31-54",L252&gt;=55,"Old 55+")</f>
        <v>Old 55+</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cm="1">
        <f t="array" ref="M253">_xlfn.IFS(L253&lt;31, "Adolescent 0-30",L253&lt;=54,"Middle Age 31-54",L253&gt;=55,"Old 55+")</f>
        <v>Old 55+</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cm="1">
        <f t="array" ref="M254">_xlfn.IFS(L254&lt;31, "Adolescent 0-30",L254&lt;=54,"Middle Age 31-54",L254&gt;=55,"Old 55+")</f>
        <v>Middle Age 31-54</v>
      </c>
      <c r="N254" t="s">
        <v>18</v>
      </c>
    </row>
    <row r="255" spans="1:14" x14ac:dyDescent="0.2">
      <c r="A255">
        <v>20598</v>
      </c>
      <c r="B255" t="s">
        <v>36</v>
      </c>
      <c r="C255" t="s">
        <v>38</v>
      </c>
      <c r="D255" s="3">
        <v>100000</v>
      </c>
      <c r="E255">
        <v>3</v>
      </c>
      <c r="F255" t="s">
        <v>29</v>
      </c>
      <c r="G255" t="s">
        <v>21</v>
      </c>
      <c r="H255" t="s">
        <v>15</v>
      </c>
      <c r="I255">
        <v>0</v>
      </c>
      <c r="J255" t="s">
        <v>47</v>
      </c>
      <c r="K255" t="s">
        <v>17</v>
      </c>
      <c r="L255">
        <v>59</v>
      </c>
      <c r="M255" t="str" cm="1">
        <f t="array" ref="M255">_xlfn.IFS(L255&lt;31, "Adolescent 0-30",L255&lt;=54,"Middle Age 31-54",L255&gt;=55,"Old 55+")</f>
        <v>Old 55+</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cm="1">
        <f t="array" ref="M256">_xlfn.IFS(L256&lt;31, "Adolescent 0-30",L256&lt;=54,"Middle Age 31-54",L256&gt;=55,"Old 55+")</f>
        <v>Old 55+</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cm="1">
        <f t="array" ref="M257">_xlfn.IFS(L257&lt;31, "Adolescent 0-30",L257&lt;=54,"Middle Age 31-54",L257&gt;=55,"Old 55+")</f>
        <v>Middle Age 31-54</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cm="1">
        <f t="array" ref="M258">_xlfn.IFS(L258&lt;31, "Adolescent 0-30",L258&lt;=54,"Middle Age 31-54",L258&gt;=55,"Old 55+")</f>
        <v>Middle Age 31-54</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cm="1">
        <f t="array" ref="M259">_xlfn.IFS(L259&lt;31, "Adolescent 0-30",L259&lt;=54,"Middle Age 31-54",L259&gt;=55,"Old 55+")</f>
        <v>Middle Age 31-54</v>
      </c>
      <c r="N259" t="s">
        <v>15</v>
      </c>
    </row>
    <row r="260" spans="1:14" x14ac:dyDescent="0.2">
      <c r="A260">
        <v>14193</v>
      </c>
      <c r="B260" t="s">
        <v>37</v>
      </c>
      <c r="C260" t="s">
        <v>39</v>
      </c>
      <c r="D260" s="3">
        <v>100000</v>
      </c>
      <c r="E260">
        <v>3</v>
      </c>
      <c r="F260" t="s">
        <v>19</v>
      </c>
      <c r="G260" t="s">
        <v>28</v>
      </c>
      <c r="H260" t="s">
        <v>15</v>
      </c>
      <c r="I260">
        <v>4</v>
      </c>
      <c r="J260" t="s">
        <v>47</v>
      </c>
      <c r="K260" t="s">
        <v>17</v>
      </c>
      <c r="L260">
        <v>56</v>
      </c>
      <c r="M260" t="str" cm="1">
        <f t="array" ref="M260">_xlfn.IFS(L260&lt;31, "Adolescent 0-30",L260&lt;=54,"Middle Age 31-54",L260&gt;=55,"Old 55+")</f>
        <v>Old 55+</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cm="1">
        <f t="array" ref="M261">_xlfn.IFS(L261&lt;31, "Adolescent 0-30",L261&lt;=54,"Middle Age 31-54",L261&gt;=55,"Old 55+")</f>
        <v>Middle Age 31-54</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cm="1">
        <f t="array" ref="M262">_xlfn.IFS(L262&lt;31, "Adolescent 0-30",L262&lt;=54,"Middle Age 31-54",L262&gt;=55,"Old 55+")</f>
        <v>Middle Age 31-54</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cm="1">
        <f t="array" ref="M263">_xlfn.IFS(L263&lt;31, "Adolescent 0-30",L263&lt;=54,"Middle Age 31-54",L263&gt;=55,"Old 55+")</f>
        <v>Middle Age 31-54</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cm="1">
        <f t="array" ref="M264">_xlfn.IFS(L264&lt;31, "Adolescent 0-30",L264&lt;=54,"Middle Age 31-54",L264&gt;=55,"Old 55+")</f>
        <v>Middle Age 31-54</v>
      </c>
      <c r="N264" t="s">
        <v>18</v>
      </c>
    </row>
    <row r="265" spans="1:14" x14ac:dyDescent="0.2">
      <c r="A265">
        <v>23419</v>
      </c>
      <c r="B265" t="s">
        <v>37</v>
      </c>
      <c r="C265" t="s">
        <v>39</v>
      </c>
      <c r="D265" s="3">
        <v>70000</v>
      </c>
      <c r="E265">
        <v>5</v>
      </c>
      <c r="F265" t="s">
        <v>13</v>
      </c>
      <c r="G265" t="s">
        <v>21</v>
      </c>
      <c r="H265" t="s">
        <v>15</v>
      </c>
      <c r="I265">
        <v>3</v>
      </c>
      <c r="J265" t="s">
        <v>47</v>
      </c>
      <c r="K265" t="s">
        <v>24</v>
      </c>
      <c r="L265">
        <v>39</v>
      </c>
      <c r="M265" t="str" cm="1">
        <f t="array" ref="M265">_xlfn.IFS(L265&lt;31, "Adolescent 0-30",L265&lt;=54,"Middle Age 31-54",L265&gt;=55,"Old 55+")</f>
        <v>Middle Age 31-54</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cm="1">
        <f t="array" ref="M266">_xlfn.IFS(L266&lt;31, "Adolescent 0-30",L266&lt;=54,"Middle Age 31-54",L266&gt;=55,"Old 55+")</f>
        <v>Middle Age 31-54</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cm="1">
        <f t="array" ref="M267">_xlfn.IFS(L267&lt;31, "Adolescent 0-30",L267&lt;=54,"Middle Age 31-54",L267&gt;=55,"Old 55+")</f>
        <v>Middle Age 31-54</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cm="1">
        <f t="array" ref="M268">_xlfn.IFS(L268&lt;31, "Adolescent 0-30",L268&lt;=54,"Middle Age 31-54",L268&gt;=55,"Old 55+")</f>
        <v>Adolescent 0-30</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cm="1">
        <f t="array" ref="M269">_xlfn.IFS(L269&lt;31, "Adolescent 0-30",L269&lt;=54,"Middle Age 31-54",L269&gt;=55,"Old 55+")</f>
        <v>Middle Age 31-54</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cm="1">
        <f t="array" ref="M270">_xlfn.IFS(L270&lt;31, "Adolescent 0-30",L270&lt;=54,"Middle Age 31-54",L270&gt;=55,"Old 55+")</f>
        <v>Middle Age 31-54</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cm="1">
        <f t="array" ref="M271">_xlfn.IFS(L271&lt;31, "Adolescent 0-30",L271&lt;=54,"Middle Age 31-54",L271&gt;=55,"Old 55+")</f>
        <v>Middle Age 31-54</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cm="1">
        <f t="array" ref="M272">_xlfn.IFS(L272&lt;31, "Adolescent 0-30",L272&lt;=54,"Middle Age 31-54",L272&gt;=55,"Old 55+")</f>
        <v>Middle Age 31-54</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cm="1">
        <f t="array" ref="M273">_xlfn.IFS(L273&lt;31, "Adolescent 0-30",L273&lt;=54,"Middle Age 31-54",L273&gt;=55,"Old 55+")</f>
        <v>Adolescent 0-30</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cm="1">
        <f t="array" ref="M274">_xlfn.IFS(L274&lt;31, "Adolescent 0-30",L274&lt;=54,"Middle Age 31-54",L274&gt;=55,"Old 55+")</f>
        <v>Middle Age 31-54</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cm="1">
        <f t="array" ref="M275">_xlfn.IFS(L275&lt;31, "Adolescent 0-30",L275&lt;=54,"Middle Age 31-54",L275&gt;=55,"Old 55+")</f>
        <v>Adolescent 0-30</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cm="1">
        <f t="array" ref="M276">_xlfn.IFS(L276&lt;31, "Adolescent 0-30",L276&lt;=54,"Middle Age 31-54",L276&gt;=55,"Old 55+")</f>
        <v>Middle Age 31-54</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cm="1">
        <f t="array" ref="M277">_xlfn.IFS(L277&lt;31, "Adolescent 0-30",L277&lt;=54,"Middle Age 31-54",L277&gt;=55,"Old 55+")</f>
        <v>Middle Age 31-54</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cm="1">
        <f t="array" ref="M278">_xlfn.IFS(L278&lt;31, "Adolescent 0-30",L278&lt;=54,"Middle Age 31-54",L278&gt;=55,"Old 55+")</f>
        <v>Middle Age 31-54</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cm="1">
        <f t="array" ref="M279">_xlfn.IFS(L279&lt;31, "Adolescent 0-30",L279&lt;=54,"Middle Age 31-54",L279&gt;=55,"Old 55+")</f>
        <v>Middle Age 31-54</v>
      </c>
      <c r="N279" t="s">
        <v>15</v>
      </c>
    </row>
    <row r="280" spans="1:14" x14ac:dyDescent="0.2">
      <c r="A280">
        <v>20625</v>
      </c>
      <c r="B280" t="s">
        <v>36</v>
      </c>
      <c r="C280" t="s">
        <v>38</v>
      </c>
      <c r="D280" s="3">
        <v>100000</v>
      </c>
      <c r="E280">
        <v>0</v>
      </c>
      <c r="F280" t="s">
        <v>27</v>
      </c>
      <c r="G280" t="s">
        <v>28</v>
      </c>
      <c r="H280" t="s">
        <v>15</v>
      </c>
      <c r="I280">
        <v>3</v>
      </c>
      <c r="J280" t="s">
        <v>47</v>
      </c>
      <c r="K280" t="s">
        <v>24</v>
      </c>
      <c r="L280">
        <v>35</v>
      </c>
      <c r="M280" t="str" cm="1">
        <f t="array" ref="M280">_xlfn.IFS(L280&lt;31, "Adolescent 0-30",L280&lt;=54,"Middle Age 31-54",L280&gt;=55,"Old 55+")</f>
        <v>Middle Age 31-54</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cm="1">
        <f t="array" ref="M281">_xlfn.IFS(L281&lt;31, "Adolescent 0-30",L281&lt;=54,"Middle Age 31-54",L281&gt;=55,"Old 55+")</f>
        <v>Middle Age 31-54</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cm="1">
        <f t="array" ref="M282">_xlfn.IFS(L282&lt;31, "Adolescent 0-30",L282&lt;=54,"Middle Age 31-54",L282&gt;=55,"Old 55+")</f>
        <v>Middle Age 31-54</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cm="1">
        <f t="array" ref="M283">_xlfn.IFS(L283&lt;31, "Adolescent 0-30",L283&lt;=54,"Middle Age 31-54",L283&gt;=55,"Old 55+")</f>
        <v>Middle Age 31-54</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cm="1">
        <f t="array" ref="M284">_xlfn.IFS(L284&lt;31, "Adolescent 0-30",L284&lt;=54,"Middle Age 31-54",L284&gt;=55,"Old 55+")</f>
        <v>Middle Age 31-54</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cm="1">
        <f t="array" ref="M285">_xlfn.IFS(L285&lt;31, "Adolescent 0-30",L285&lt;=54,"Middle Age 31-54",L285&gt;=55,"Old 55+")</f>
        <v>Middle Age 31-54</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cm="1">
        <f t="array" ref="M286">_xlfn.IFS(L286&lt;31, "Adolescent 0-30",L286&lt;=54,"Middle Age 31-54",L286&gt;=55,"Old 55+")</f>
        <v>Middle Age 31-54</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cm="1">
        <f t="array" ref="M287">_xlfn.IFS(L287&lt;31, "Adolescent 0-30",L287&lt;=54,"Middle Age 31-54",L287&gt;=55,"Old 55+")</f>
        <v>Middle Age 31-54</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cm="1">
        <f t="array" ref="M288">_xlfn.IFS(L288&lt;31, "Adolescent 0-30",L288&lt;=54,"Middle Age 31-54",L288&gt;=55,"Old 55+")</f>
        <v>Middle Age 31-54</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cm="1">
        <f t="array" ref="M289">_xlfn.IFS(L289&lt;31, "Adolescent 0-30",L289&lt;=54,"Middle Age 31-54",L289&gt;=55,"Old 55+")</f>
        <v>Middle Age 31-54</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cm="1">
        <f t="array" ref="M290">_xlfn.IFS(L290&lt;31, "Adolescent 0-30",L290&lt;=54,"Middle Age 31-54",L290&gt;=55,"Old 55+")</f>
        <v>Middle Age 31-54</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cm="1">
        <f t="array" ref="M291">_xlfn.IFS(L291&lt;31, "Adolescent 0-30",L291&lt;=54,"Middle Age 31-54",L291&gt;=55,"Old 55+")</f>
        <v>Middle Age 31-54</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cm="1">
        <f t="array" ref="M292">_xlfn.IFS(L292&lt;31, "Adolescent 0-30",L292&lt;=54,"Middle Age 31-54",L292&gt;=55,"Old 55+")</f>
        <v>Middle Age 31-54</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cm="1">
        <f t="array" ref="M293">_xlfn.IFS(L293&lt;31, "Adolescent 0-30",L293&lt;=54,"Middle Age 31-54",L293&gt;=55,"Old 55+")</f>
        <v>Middle Age 31-54</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cm="1">
        <f t="array" ref="M294">_xlfn.IFS(L294&lt;31, "Adolescent 0-30",L294&lt;=54,"Middle Age 31-54",L294&gt;=55,"Old 55+")</f>
        <v>Middle Age 31-54</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cm="1">
        <f t="array" ref="M295">_xlfn.IFS(L295&lt;31, "Adolescent 0-30",L295&lt;=54,"Middle Age 31-54",L295&gt;=55,"Old 55+")</f>
        <v>Middle Age 31-54</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cm="1">
        <f t="array" ref="M296">_xlfn.IFS(L296&lt;31, "Adolescent 0-30",L296&lt;=54,"Middle Age 31-54",L296&gt;=55,"Old 55+")</f>
        <v>Middle Age 31-54</v>
      </c>
      <c r="N296" t="s">
        <v>15</v>
      </c>
    </row>
    <row r="297" spans="1:14" x14ac:dyDescent="0.2">
      <c r="A297">
        <v>21557</v>
      </c>
      <c r="B297" t="s">
        <v>37</v>
      </c>
      <c r="C297" t="s">
        <v>39</v>
      </c>
      <c r="D297" s="3">
        <v>110000</v>
      </c>
      <c r="E297">
        <v>0</v>
      </c>
      <c r="F297" t="s">
        <v>19</v>
      </c>
      <c r="G297" t="s">
        <v>28</v>
      </c>
      <c r="H297" t="s">
        <v>15</v>
      </c>
      <c r="I297">
        <v>3</v>
      </c>
      <c r="J297" t="s">
        <v>47</v>
      </c>
      <c r="K297" t="s">
        <v>24</v>
      </c>
      <c r="L297">
        <v>32</v>
      </c>
      <c r="M297" t="str" cm="1">
        <f t="array" ref="M297">_xlfn.IFS(L297&lt;31, "Adolescent 0-30",L297&lt;=54,"Middle Age 31-54",L297&gt;=55,"Old 55+")</f>
        <v>Middle Age 31-54</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cm="1">
        <f t="array" ref="M298">_xlfn.IFS(L298&lt;31, "Adolescent 0-30",L298&lt;=54,"Middle Age 31-54",L298&gt;=55,"Old 55+")</f>
        <v>Middle Age 31-54</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cm="1">
        <f t="array" ref="M299">_xlfn.IFS(L299&lt;31, "Adolescent 0-30",L299&lt;=54,"Middle Age 31-54",L299&gt;=55,"Old 55+")</f>
        <v>Middle Age 31-54</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cm="1">
        <f t="array" ref="M300">_xlfn.IFS(L300&lt;31, "Adolescent 0-30",L300&lt;=54,"Middle Age 31-54",L300&gt;=55,"Old 55+")</f>
        <v>Middle Age 31-54</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cm="1">
        <f t="array" ref="M301">_xlfn.IFS(L301&lt;31, "Adolescent 0-30",L301&lt;=54,"Middle Age 31-54",L301&gt;=55,"Old 55+")</f>
        <v>Old 55+</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cm="1">
        <f t="array" ref="M302">_xlfn.IFS(L302&lt;31, "Adolescent 0-30",L302&lt;=54,"Middle Age 31-54",L302&gt;=55,"Old 55+")</f>
        <v>Old 55+</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cm="1">
        <f t="array" ref="M303">_xlfn.IFS(L303&lt;31, "Adolescent 0-30",L303&lt;=54,"Middle Age 31-54",L303&gt;=55,"Old 55+")</f>
        <v>Adolescent 0-30</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cm="1">
        <f t="array" ref="M304">_xlfn.IFS(L304&lt;31, "Adolescent 0-30",L304&lt;=54,"Middle Age 31-54",L304&gt;=55,"Old 55+")</f>
        <v>Old 55+</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cm="1">
        <f t="array" ref="M305">_xlfn.IFS(L305&lt;31, "Adolescent 0-30",L305&lt;=54,"Middle Age 31-54",L305&gt;=55,"Old 55+")</f>
        <v>Middle Age 31-54</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cm="1">
        <f t="array" ref="M306">_xlfn.IFS(L306&lt;31, "Adolescent 0-30",L306&lt;=54,"Middle Age 31-54",L306&gt;=55,"Old 55+")</f>
        <v>Middle Age 31-54</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cm="1">
        <f t="array" ref="M307">_xlfn.IFS(L307&lt;31, "Adolescent 0-30",L307&lt;=54,"Middle Age 31-54",L307&gt;=55,"Old 55+")</f>
        <v>Old 55+</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cm="1">
        <f t="array" ref="M308">_xlfn.IFS(L308&lt;31, "Adolescent 0-30",L308&lt;=54,"Middle Age 31-54",L308&gt;=55,"Old 55+")</f>
        <v>Middle Age 31-54</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cm="1">
        <f t="array" ref="M309">_xlfn.IFS(L309&lt;31, "Adolescent 0-30",L309&lt;=54,"Middle Age 31-54",L309&gt;=55,"Old 55+")</f>
        <v>Old 55+</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cm="1">
        <f t="array" ref="M310">_xlfn.IFS(L310&lt;31, "Adolescent 0-30",L310&lt;=54,"Middle Age 31-54",L310&gt;=55,"Old 55+")</f>
        <v>Middle Age 31-54</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cm="1">
        <f t="array" ref="M311">_xlfn.IFS(L311&lt;31, "Adolescent 0-30",L311&lt;=54,"Middle Age 31-54",L311&gt;=55,"Old 55+")</f>
        <v>Middle Age 31-54</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cm="1">
        <f t="array" ref="M312">_xlfn.IFS(L312&lt;31, "Adolescent 0-30",L312&lt;=54,"Middle Age 31-54",L312&gt;=55,"Old 55+")</f>
        <v>Middle Age 31-54</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cm="1">
        <f t="array" ref="M313">_xlfn.IFS(L313&lt;31, "Adolescent 0-30",L313&lt;=54,"Middle Age 31-54",L313&gt;=55,"Old 55+")</f>
        <v>Middle Age 31-54</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cm="1">
        <f t="array" ref="M314">_xlfn.IFS(L314&lt;31, "Adolescent 0-30",L314&lt;=54,"Middle Age 31-54",L314&gt;=55,"Old 55+")</f>
        <v>Old 55+</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cm="1">
        <f t="array" ref="M315">_xlfn.IFS(L315&lt;31, "Adolescent 0-30",L315&lt;=54,"Middle Age 31-54",L315&gt;=55,"Old 55+")</f>
        <v>Middle Age 31-54</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cm="1">
        <f t="array" ref="M316">_xlfn.IFS(L316&lt;31, "Adolescent 0-30",L316&lt;=54,"Middle Age 31-54",L316&gt;=55,"Old 55+")</f>
        <v>Middle Age 31-54</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cm="1">
        <f t="array" ref="M317">_xlfn.IFS(L317&lt;31, "Adolescent 0-30",L317&lt;=54,"Middle Age 31-54",L317&gt;=55,"Old 55+")</f>
        <v>Middle Age 31-54</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cm="1">
        <f t="array" ref="M318">_xlfn.IFS(L318&lt;31, "Adolescent 0-30",L318&lt;=54,"Middle Age 31-54",L318&gt;=55,"Old 55+")</f>
        <v>Old 55+</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cm="1">
        <f t="array" ref="M319">_xlfn.IFS(L319&lt;31, "Adolescent 0-30",L319&lt;=54,"Middle Age 31-54",L319&gt;=55,"Old 55+")</f>
        <v>Middle Age 31-54</v>
      </c>
      <c r="N319" t="s">
        <v>15</v>
      </c>
    </row>
    <row r="320" spans="1:14" x14ac:dyDescent="0.2">
      <c r="A320">
        <v>19066</v>
      </c>
      <c r="B320" t="s">
        <v>36</v>
      </c>
      <c r="C320" t="s">
        <v>38</v>
      </c>
      <c r="D320" s="3">
        <v>130000</v>
      </c>
      <c r="E320">
        <v>4</v>
      </c>
      <c r="F320" t="s">
        <v>19</v>
      </c>
      <c r="G320" t="s">
        <v>21</v>
      </c>
      <c r="H320" t="s">
        <v>18</v>
      </c>
      <c r="I320">
        <v>3</v>
      </c>
      <c r="J320" t="s">
        <v>47</v>
      </c>
      <c r="K320" t="s">
        <v>17</v>
      </c>
      <c r="L320">
        <v>54</v>
      </c>
      <c r="M320" t="str" cm="1">
        <f t="array" ref="M320">_xlfn.IFS(L320&lt;31, "Adolescent 0-30",L320&lt;=54,"Middle Age 31-54",L320&gt;=55,"Old 55+")</f>
        <v>Middle Age 31-54</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cm="1">
        <f t="array" ref="M321">_xlfn.IFS(L321&lt;31, "Adolescent 0-30",L321&lt;=54,"Middle Age 31-54",L321&gt;=55,"Old 55+")</f>
        <v>Middle Age 31-54</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cm="1">
        <f t="array" ref="M322">_xlfn.IFS(L322&lt;31, "Adolescent 0-30",L322&lt;=54,"Middle Age 31-54",L322&gt;=55,"Old 55+")</f>
        <v>Middle Age 31-54</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cm="1">
        <f t="array" ref="M323">_xlfn.IFS(L323&lt;31, "Adolescent 0-30",L323&lt;=54,"Middle Age 31-54",L323&gt;=55,"Old 55+")</f>
        <v>Middle Age 31-54</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cm="1">
        <f t="array" ref="M324">_xlfn.IFS(L324&lt;31, "Adolescent 0-30",L324&lt;=54,"Middle Age 31-54",L324&gt;=55,"Old 55+")</f>
        <v>Middle Age 31-54</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cm="1">
        <f t="array" ref="M325">_xlfn.IFS(L325&lt;31, "Adolescent 0-30",L325&lt;=54,"Middle Age 31-54",L325&gt;=55,"Old 55+")</f>
        <v>Middle Age 31-54</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cm="1">
        <f t="array" ref="M326">_xlfn.IFS(L326&lt;31, "Adolescent 0-30",L326&lt;=54,"Middle Age 31-54",L326&gt;=55,"Old 55+")</f>
        <v>Middle Age 31-54</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cm="1">
        <f t="array" ref="M327">_xlfn.IFS(L327&lt;31, "Adolescent 0-30",L327&lt;=54,"Middle Age 31-54",L327&gt;=55,"Old 55+")</f>
        <v>Middle Age 31-54</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cm="1">
        <f t="array" ref="M328">_xlfn.IFS(L328&lt;31, "Adolescent 0-30",L328&lt;=54,"Middle Age 31-54",L328&gt;=55,"Old 55+")</f>
        <v>Adolescent 0-30</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cm="1">
        <f t="array" ref="M329">_xlfn.IFS(L329&lt;31, "Adolescent 0-30",L329&lt;=54,"Middle Age 31-54",L329&gt;=55,"Old 55+")</f>
        <v>Middle Age 31-54</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cm="1">
        <f t="array" ref="M330">_xlfn.IFS(L330&lt;31, "Adolescent 0-30",L330&lt;=54,"Middle Age 31-54",L330&gt;=55,"Old 55+")</f>
        <v>Middle Age 31-54</v>
      </c>
      <c r="N330" t="s">
        <v>18</v>
      </c>
    </row>
    <row r="331" spans="1:14" x14ac:dyDescent="0.2">
      <c r="A331">
        <v>12663</v>
      </c>
      <c r="B331" t="s">
        <v>36</v>
      </c>
      <c r="C331" t="s">
        <v>39</v>
      </c>
      <c r="D331" s="3">
        <v>90000</v>
      </c>
      <c r="E331">
        <v>5</v>
      </c>
      <c r="F331" t="s">
        <v>29</v>
      </c>
      <c r="G331" t="s">
        <v>14</v>
      </c>
      <c r="H331" t="s">
        <v>15</v>
      </c>
      <c r="I331">
        <v>2</v>
      </c>
      <c r="J331" t="s">
        <v>47</v>
      </c>
      <c r="K331" t="s">
        <v>17</v>
      </c>
      <c r="L331">
        <v>59</v>
      </c>
      <c r="M331" t="str" cm="1">
        <f t="array" ref="M331">_xlfn.IFS(L331&lt;31, "Adolescent 0-30",L331&lt;=54,"Middle Age 31-54",L331&gt;=55,"Old 55+")</f>
        <v>Old 55+</v>
      </c>
      <c r="N331" t="s">
        <v>18</v>
      </c>
    </row>
    <row r="332" spans="1:14" x14ac:dyDescent="0.2">
      <c r="A332">
        <v>24898</v>
      </c>
      <c r="B332" t="s">
        <v>37</v>
      </c>
      <c r="C332" t="s">
        <v>39</v>
      </c>
      <c r="D332" s="3">
        <v>80000</v>
      </c>
      <c r="E332">
        <v>0</v>
      </c>
      <c r="F332" t="s">
        <v>13</v>
      </c>
      <c r="G332" t="s">
        <v>21</v>
      </c>
      <c r="H332" t="s">
        <v>15</v>
      </c>
      <c r="I332">
        <v>3</v>
      </c>
      <c r="J332" t="s">
        <v>47</v>
      </c>
      <c r="K332" t="s">
        <v>24</v>
      </c>
      <c r="L332">
        <v>32</v>
      </c>
      <c r="M332" t="str" cm="1">
        <f t="array" ref="M332">_xlfn.IFS(L332&lt;31, "Adolescent 0-30",L332&lt;=54,"Middle Age 31-54",L332&gt;=55,"Old 55+")</f>
        <v>Middle Age 31-54</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cm="1">
        <f t="array" ref="M333">_xlfn.IFS(L333&lt;31, "Adolescent 0-30",L333&lt;=54,"Middle Age 31-54",L333&gt;=55,"Old 55+")</f>
        <v>Adolescent 0-30</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cm="1">
        <f t="array" ref="M334">_xlfn.IFS(L334&lt;31, "Adolescent 0-30",L334&lt;=54,"Middle Age 31-54",L334&gt;=55,"Old 55+")</f>
        <v>Middle Age 31-54</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cm="1">
        <f t="array" ref="M335">_xlfn.IFS(L335&lt;31, "Adolescent 0-30",L335&lt;=54,"Middle Age 31-54",L335&gt;=55,"Old 55+")</f>
        <v>Middle Age 31-54</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cm="1">
        <f t="array" ref="M336">_xlfn.IFS(L336&lt;31, "Adolescent 0-30",L336&lt;=54,"Middle Age 31-54",L336&gt;=55,"Old 55+")</f>
        <v>Middle Age 31-54</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cm="1">
        <f t="array" ref="M337">_xlfn.IFS(L337&lt;31, "Adolescent 0-30",L337&lt;=54,"Middle Age 31-54",L337&gt;=55,"Old 55+")</f>
        <v>Middle Age 31-54</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cm="1">
        <f t="array" ref="M338">_xlfn.IFS(L338&lt;31, "Adolescent 0-30",L338&lt;=54,"Middle Age 31-54",L338&gt;=55,"Old 55+")</f>
        <v>Middle Age 31-54</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cm="1">
        <f t="array" ref="M339">_xlfn.IFS(L339&lt;31, "Adolescent 0-30",L339&lt;=54,"Middle Age 31-54",L339&gt;=55,"Old 55+")</f>
        <v>Middle Age 31-54</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cm="1">
        <f t="array" ref="M340">_xlfn.IFS(L340&lt;31, "Adolescent 0-30",L340&lt;=54,"Middle Age 31-54",L340&gt;=55,"Old 55+")</f>
        <v>Middle Age 31-54</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cm="1">
        <f t="array" ref="M341">_xlfn.IFS(L341&lt;31, "Adolescent 0-30",L341&lt;=54,"Middle Age 31-54",L341&gt;=55,"Old 55+")</f>
        <v>Old 55+</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cm="1">
        <f t="array" ref="M342">_xlfn.IFS(L342&lt;31, "Adolescent 0-30",L342&lt;=54,"Middle Age 31-54",L342&gt;=55,"Old 55+")</f>
        <v>Adolescent 0-30</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cm="1">
        <f t="array" ref="M343">_xlfn.IFS(L343&lt;31, "Adolescent 0-30",L343&lt;=54,"Middle Age 31-54",L343&gt;=55,"Old 55+")</f>
        <v>Middle Age 31-54</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cm="1">
        <f t="array" ref="M344">_xlfn.IFS(L344&lt;31, "Adolescent 0-30",L344&lt;=54,"Middle Age 31-54",L344&gt;=55,"Old 55+")</f>
        <v>Middle Age 31-54</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cm="1">
        <f t="array" ref="M345">_xlfn.IFS(L345&lt;31, "Adolescent 0-30",L345&lt;=54,"Middle Age 31-54",L345&gt;=55,"Old 55+")</f>
        <v>Middle Age 31-54</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cm="1">
        <f t="array" ref="M346">_xlfn.IFS(L346&lt;31, "Adolescent 0-30",L346&lt;=54,"Middle Age 31-54",L346&gt;=55,"Old 55+")</f>
        <v>Middle Age 31-54</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cm="1">
        <f t="array" ref="M347">_xlfn.IFS(L347&lt;31, "Adolescent 0-30",L347&lt;=54,"Middle Age 31-54",L347&gt;=55,"Old 55+")</f>
        <v>Middle Age 31-54</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cm="1">
        <f t="array" ref="M348">_xlfn.IFS(L348&lt;31, "Adolescent 0-30",L348&lt;=54,"Middle Age 31-54",L348&gt;=55,"Old 55+")</f>
        <v>Middle Age 31-54</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cm="1">
        <f t="array" ref="M349">_xlfn.IFS(L349&lt;31, "Adolescent 0-30",L349&lt;=54,"Middle Age 31-54",L349&gt;=55,"Old 55+")</f>
        <v>Middle Age 31-54</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cm="1">
        <f t="array" ref="M350">_xlfn.IFS(L350&lt;31, "Adolescent 0-30",L350&lt;=54,"Middle Age 31-54",L350&gt;=55,"Old 55+")</f>
        <v>Middle Age 31-54</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cm="1">
        <f t="array" ref="M351">_xlfn.IFS(L351&lt;31, "Adolescent 0-30",L351&lt;=54,"Middle Age 31-54",L351&gt;=55,"Old 55+")</f>
        <v>Adolescent 0-30</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cm="1">
        <f t="array" ref="M352">_xlfn.IFS(L352&lt;31, "Adolescent 0-30",L352&lt;=54,"Middle Age 31-54",L352&gt;=55,"Old 55+")</f>
        <v>Adolescent 0-30</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cm="1">
        <f t="array" ref="M353">_xlfn.IFS(L353&lt;31, "Adolescent 0-30",L353&lt;=54,"Middle Age 31-54",L353&gt;=55,"Old 55+")</f>
        <v>Middle Age 31-54</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cm="1">
        <f t="array" ref="M354">_xlfn.IFS(L354&lt;31, "Adolescent 0-30",L354&lt;=54,"Middle Age 31-54",L354&gt;=55,"Old 55+")</f>
        <v>Middle Age 31-54</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cm="1">
        <f t="array" ref="M355">_xlfn.IFS(L355&lt;31, "Adolescent 0-30",L355&lt;=54,"Middle Age 31-54",L355&gt;=55,"Old 55+")</f>
        <v>Middle Age 31-54</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cm="1">
        <f t="array" ref="M356">_xlfn.IFS(L356&lt;31, "Adolescent 0-30",L356&lt;=54,"Middle Age 31-54",L356&gt;=55,"Old 55+")</f>
        <v>Middle Age 31-54</v>
      </c>
      <c r="N356" t="s">
        <v>18</v>
      </c>
    </row>
    <row r="357" spans="1:14" x14ac:dyDescent="0.2">
      <c r="A357">
        <v>17238</v>
      </c>
      <c r="B357" t="s">
        <v>37</v>
      </c>
      <c r="C357" t="s">
        <v>38</v>
      </c>
      <c r="D357" s="3">
        <v>80000</v>
      </c>
      <c r="E357">
        <v>0</v>
      </c>
      <c r="F357" t="s">
        <v>13</v>
      </c>
      <c r="G357" t="s">
        <v>21</v>
      </c>
      <c r="H357" t="s">
        <v>15</v>
      </c>
      <c r="I357">
        <v>3</v>
      </c>
      <c r="J357" t="s">
        <v>47</v>
      </c>
      <c r="K357" t="s">
        <v>24</v>
      </c>
      <c r="L357">
        <v>32</v>
      </c>
      <c r="M357" t="str" cm="1">
        <f t="array" ref="M357">_xlfn.IFS(L357&lt;31, "Adolescent 0-30",L357&lt;=54,"Middle Age 31-54",L357&gt;=55,"Old 55+")</f>
        <v>Middle Age 31-54</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cm="1">
        <f t="array" ref="M358">_xlfn.IFS(L358&lt;31, "Adolescent 0-30",L358&lt;=54,"Middle Age 31-54",L358&gt;=55,"Old 55+")</f>
        <v>Middle Age 31-54</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cm="1">
        <f t="array" ref="M359">_xlfn.IFS(L359&lt;31, "Adolescent 0-30",L359&lt;=54,"Middle Age 31-54",L359&gt;=55,"Old 55+")</f>
        <v>Middle Age 31-54</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cm="1">
        <f t="array" ref="M360">_xlfn.IFS(L360&lt;31, "Adolescent 0-30",L360&lt;=54,"Middle Age 31-54",L360&gt;=55,"Old 55+")</f>
        <v>Old 55+</v>
      </c>
      <c r="N360" t="s">
        <v>15</v>
      </c>
    </row>
    <row r="361" spans="1:14" x14ac:dyDescent="0.2">
      <c r="A361">
        <v>17230</v>
      </c>
      <c r="B361" t="s">
        <v>36</v>
      </c>
      <c r="C361" t="s">
        <v>38</v>
      </c>
      <c r="D361" s="3">
        <v>80000</v>
      </c>
      <c r="E361">
        <v>0</v>
      </c>
      <c r="F361" t="s">
        <v>13</v>
      </c>
      <c r="G361" t="s">
        <v>21</v>
      </c>
      <c r="H361" t="s">
        <v>15</v>
      </c>
      <c r="I361">
        <v>3</v>
      </c>
      <c r="J361" t="s">
        <v>47</v>
      </c>
      <c r="K361" t="s">
        <v>24</v>
      </c>
      <c r="L361">
        <v>30</v>
      </c>
      <c r="M361" t="str" cm="1">
        <f t="array" ref="M361">_xlfn.IFS(L361&lt;31, "Adolescent 0-30",L361&lt;=54,"Middle Age 31-54",L361&gt;=55,"Old 55+")</f>
        <v>Adolescent 0-30</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cm="1">
        <f t="array" ref="M362">_xlfn.IFS(L362&lt;31, "Adolescent 0-30",L362&lt;=54,"Middle Age 31-54",L362&gt;=55,"Old 55+")</f>
        <v>Middle Age 31-54</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cm="1">
        <f t="array" ref="M363">_xlfn.IFS(L363&lt;31, "Adolescent 0-30",L363&lt;=54,"Middle Age 31-54",L363&gt;=55,"Old 55+")</f>
        <v>Adolescent 0-30</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cm="1">
        <f t="array" ref="M364">_xlfn.IFS(L364&lt;31, "Adolescent 0-30",L364&lt;=54,"Middle Age 31-54",L364&gt;=55,"Old 55+")</f>
        <v>Middle Age 31-54</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cm="1">
        <f t="array" ref="M365">_xlfn.IFS(L365&lt;31, "Adolescent 0-30",L365&lt;=54,"Middle Age 31-54",L365&gt;=55,"Old 55+")</f>
        <v>Old 55+</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cm="1">
        <f t="array" ref="M366">_xlfn.IFS(L366&lt;31, "Adolescent 0-30",L366&lt;=54,"Middle Age 31-54",L366&gt;=55,"Old 55+")</f>
        <v>Middle Age 31-54</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cm="1">
        <f t="array" ref="M367">_xlfn.IFS(L367&lt;31, "Adolescent 0-30",L367&lt;=54,"Middle Age 31-54",L367&gt;=55,"Old 55+")</f>
        <v>Middle Age 31-54</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cm="1">
        <f t="array" ref="M368">_xlfn.IFS(L368&lt;31, "Adolescent 0-30",L368&lt;=54,"Middle Age 31-54",L368&gt;=55,"Old 55+")</f>
        <v>Middle Age 31-54</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cm="1">
        <f t="array" ref="M369">_xlfn.IFS(L369&lt;31, "Adolescent 0-30",L369&lt;=54,"Middle Age 31-54",L369&gt;=55,"Old 55+")</f>
        <v>Middle Age 31-54</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cm="1">
        <f t="array" ref="M370">_xlfn.IFS(L370&lt;31, "Adolescent 0-30",L370&lt;=54,"Middle Age 31-54",L370&gt;=55,"Old 55+")</f>
        <v>Old 55+</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cm="1">
        <f t="array" ref="M371">_xlfn.IFS(L371&lt;31, "Adolescent 0-30",L371&lt;=54,"Middle Age 31-54",L371&gt;=55,"Old 55+")</f>
        <v>Middle Age 31-54</v>
      </c>
      <c r="N371" t="s">
        <v>15</v>
      </c>
    </row>
    <row r="372" spans="1:14" x14ac:dyDescent="0.2">
      <c r="A372">
        <v>17324</v>
      </c>
      <c r="B372" t="s">
        <v>36</v>
      </c>
      <c r="C372" t="s">
        <v>39</v>
      </c>
      <c r="D372" s="3">
        <v>100000</v>
      </c>
      <c r="E372">
        <v>4</v>
      </c>
      <c r="F372" t="s">
        <v>13</v>
      </c>
      <c r="G372" t="s">
        <v>21</v>
      </c>
      <c r="H372" t="s">
        <v>15</v>
      </c>
      <c r="I372">
        <v>1</v>
      </c>
      <c r="J372" t="s">
        <v>47</v>
      </c>
      <c r="K372" t="s">
        <v>24</v>
      </c>
      <c r="L372">
        <v>46</v>
      </c>
      <c r="M372" t="str" cm="1">
        <f t="array" ref="M372">_xlfn.IFS(L372&lt;31, "Adolescent 0-30",L372&lt;=54,"Middle Age 31-54",L372&gt;=55,"Old 55+")</f>
        <v>Middle Age 31-54</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cm="1">
        <f t="array" ref="M373">_xlfn.IFS(L373&lt;31, "Adolescent 0-30",L373&lt;=54,"Middle Age 31-54",L373&gt;=55,"Old 55+")</f>
        <v>Middle Age 31-54</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cm="1">
        <f t="array" ref="M374">_xlfn.IFS(L374&lt;31, "Adolescent 0-30",L374&lt;=54,"Middle Age 31-54",L374&gt;=55,"Old 55+")</f>
        <v>Middle Age 31-54</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cm="1">
        <f t="array" ref="M375">_xlfn.IFS(L375&lt;31, "Adolescent 0-30",L375&lt;=54,"Middle Age 31-54",L375&gt;=55,"Old 55+")</f>
        <v>Adolescent 0-30</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cm="1">
        <f t="array" ref="M376">_xlfn.IFS(L376&lt;31, "Adolescent 0-30",L376&lt;=54,"Middle Age 31-54",L376&gt;=55,"Old 55+")</f>
        <v>Middle Age 31-54</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cm="1">
        <f t="array" ref="M377">_xlfn.IFS(L377&lt;31, "Adolescent 0-30",L377&lt;=54,"Middle Age 31-54",L377&gt;=55,"Old 55+")</f>
        <v>Old 55+</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cm="1">
        <f t="array" ref="M378">_xlfn.IFS(L378&lt;31, "Adolescent 0-30",L378&lt;=54,"Middle Age 31-54",L378&gt;=55,"Old 55+")</f>
        <v>Old 55+</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cm="1">
        <f t="array" ref="M379">_xlfn.IFS(L379&lt;31, "Adolescent 0-30",L379&lt;=54,"Middle Age 31-54",L379&gt;=55,"Old 55+")</f>
        <v>Middle Age 31-54</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cm="1">
        <f t="array" ref="M380">_xlfn.IFS(L380&lt;31, "Adolescent 0-30",L380&lt;=54,"Middle Age 31-54",L380&gt;=55,"Old 55+")</f>
        <v>Old 55+</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cm="1">
        <f t="array" ref="M381">_xlfn.IFS(L381&lt;31, "Adolescent 0-30",L381&lt;=54,"Middle Age 31-54",L381&gt;=55,"Old 55+")</f>
        <v>Middle Age 31-54</v>
      </c>
      <c r="N381" t="s">
        <v>18</v>
      </c>
    </row>
    <row r="382" spans="1:14" x14ac:dyDescent="0.2">
      <c r="A382">
        <v>13620</v>
      </c>
      <c r="B382" t="s">
        <v>37</v>
      </c>
      <c r="C382" t="s">
        <v>38</v>
      </c>
      <c r="D382" s="3">
        <v>70000</v>
      </c>
      <c r="E382">
        <v>0</v>
      </c>
      <c r="F382" t="s">
        <v>13</v>
      </c>
      <c r="G382" t="s">
        <v>21</v>
      </c>
      <c r="H382" t="s">
        <v>18</v>
      </c>
      <c r="I382">
        <v>3</v>
      </c>
      <c r="J382" t="s">
        <v>47</v>
      </c>
      <c r="K382" t="s">
        <v>24</v>
      </c>
      <c r="L382">
        <v>30</v>
      </c>
      <c r="M382" t="str" cm="1">
        <f t="array" ref="M382">_xlfn.IFS(L382&lt;31, "Adolescent 0-30",L382&lt;=54,"Middle Age 31-54",L382&gt;=55,"Old 55+")</f>
        <v>Adolescent 0-30</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cm="1">
        <f t="array" ref="M383">_xlfn.IFS(L383&lt;31, "Adolescent 0-30",L383&lt;=54,"Middle Age 31-54",L383&gt;=55,"Old 55+")</f>
        <v>Old 55+</v>
      </c>
      <c r="N383" t="s">
        <v>18</v>
      </c>
    </row>
    <row r="384" spans="1:14" x14ac:dyDescent="0.2">
      <c r="A384">
        <v>13586</v>
      </c>
      <c r="B384" t="s">
        <v>36</v>
      </c>
      <c r="C384" t="s">
        <v>38</v>
      </c>
      <c r="D384" s="3">
        <v>80000</v>
      </c>
      <c r="E384">
        <v>4</v>
      </c>
      <c r="F384" t="s">
        <v>19</v>
      </c>
      <c r="G384" t="s">
        <v>21</v>
      </c>
      <c r="H384" t="s">
        <v>15</v>
      </c>
      <c r="I384">
        <v>2</v>
      </c>
      <c r="J384" t="s">
        <v>47</v>
      </c>
      <c r="K384" t="s">
        <v>17</v>
      </c>
      <c r="L384">
        <v>53</v>
      </c>
      <c r="M384" t="str" cm="1">
        <f t="array" ref="M384">_xlfn.IFS(L384&lt;31, "Adolescent 0-30",L384&lt;=54,"Middle Age 31-54",L384&gt;=55,"Old 55+")</f>
        <v>Middle Age 31-54</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cm="1">
        <f t="array" ref="M385">_xlfn.IFS(L385&lt;31, "Adolescent 0-30",L385&lt;=54,"Middle Age 31-54",L385&gt;=55,"Old 55+")</f>
        <v>Middle Age 31-54</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cm="1">
        <f t="array" ref="M386">_xlfn.IFS(L386&lt;31, "Adolescent 0-30",L386&lt;=54,"Middle Age 31-54",L386&gt;=55,"Old 55+")</f>
        <v>Adolescent 0-30</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cm="1">
        <f t="array" ref="M387">_xlfn.IFS(L387&lt;31, "Adolescent 0-30",L387&lt;=54,"Middle Age 31-54",L387&gt;=55,"Old 55+")</f>
        <v>Middle Age 31-54</v>
      </c>
      <c r="N387" t="s">
        <v>18</v>
      </c>
    </row>
    <row r="388" spans="1:14" x14ac:dyDescent="0.2">
      <c r="A388">
        <v>28957</v>
      </c>
      <c r="B388" t="s">
        <v>37</v>
      </c>
      <c r="C388" t="s">
        <v>39</v>
      </c>
      <c r="D388" s="3">
        <v>120000</v>
      </c>
      <c r="E388">
        <v>0</v>
      </c>
      <c r="F388" t="s">
        <v>29</v>
      </c>
      <c r="G388" t="s">
        <v>21</v>
      </c>
      <c r="H388" t="s">
        <v>15</v>
      </c>
      <c r="I388">
        <v>4</v>
      </c>
      <c r="J388" t="s">
        <v>47</v>
      </c>
      <c r="K388" t="s">
        <v>24</v>
      </c>
      <c r="L388">
        <v>34</v>
      </c>
      <c r="M388" t="str" cm="1">
        <f t="array" ref="M388">_xlfn.IFS(L388&lt;31, "Adolescent 0-30",L388&lt;=54,"Middle Age 31-54",L388&gt;=55,"Old 55+")</f>
        <v>Middle Age 31-54</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cm="1">
        <f t="array" ref="M389">_xlfn.IFS(L389&lt;31, "Adolescent 0-30",L389&lt;=54,"Middle Age 31-54",L389&gt;=55,"Old 55+")</f>
        <v>Middle Age 31-54</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cm="1">
        <f t="array" ref="M390">_xlfn.IFS(L390&lt;31, "Adolescent 0-30",L390&lt;=54,"Middle Age 31-54",L390&gt;=55,"Old 55+")</f>
        <v>Old 55+</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cm="1">
        <f t="array" ref="M391">_xlfn.IFS(L391&lt;31, "Adolescent 0-30",L391&lt;=54,"Middle Age 31-54",L391&gt;=55,"Old 55+")</f>
        <v>Middle Age 31-54</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cm="1">
        <f t="array" ref="M392">_xlfn.IFS(L392&lt;31, "Adolescent 0-30",L392&lt;=54,"Middle Age 31-54",L392&gt;=55,"Old 55+")</f>
        <v>Middle Age 31-54</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cm="1">
        <f t="array" ref="M393">_xlfn.IFS(L393&lt;31, "Adolescent 0-30",L393&lt;=54,"Middle Age 31-54",L393&gt;=55,"Old 55+")</f>
        <v>Middle Age 31-54</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cm="1">
        <f t="array" ref="M394">_xlfn.IFS(L394&lt;31, "Adolescent 0-30",L394&lt;=54,"Middle Age 31-54",L394&gt;=55,"Old 55+")</f>
        <v>Middle Age 31-54</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cm="1">
        <f t="array" ref="M395">_xlfn.IFS(L395&lt;31, "Adolescent 0-30",L395&lt;=54,"Middle Age 31-54",L395&gt;=55,"Old 55+")</f>
        <v>Middle Age 31-54</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cm="1">
        <f t="array" ref="M396">_xlfn.IFS(L396&lt;31, "Adolescent 0-30",L396&lt;=54,"Middle Age 31-54",L396&gt;=55,"Old 55+")</f>
        <v>Middle Age 31-54</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cm="1">
        <f t="array" ref="M397">_xlfn.IFS(L397&lt;31, "Adolescent 0-30",L397&lt;=54,"Middle Age 31-54",L397&gt;=55,"Old 55+")</f>
        <v>Middle Age 31-54</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cm="1">
        <f t="array" ref="M398">_xlfn.IFS(L398&lt;31, "Adolescent 0-30",L398&lt;=54,"Middle Age 31-54",L398&gt;=55,"Old 55+")</f>
        <v>Middle Age 31-54</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cm="1">
        <f t="array" ref="M399">_xlfn.IFS(L399&lt;31, "Adolescent 0-30",L399&lt;=54,"Middle Age 31-54",L399&gt;=55,"Old 55+")</f>
        <v>Old 55+</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cm="1">
        <f t="array" ref="M400">_xlfn.IFS(L400&lt;31, "Adolescent 0-30",L400&lt;=54,"Middle Age 31-54",L400&gt;=55,"Old 55+")</f>
        <v>Middle Age 31-54</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cm="1">
        <f t="array" ref="M401">_xlfn.IFS(L401&lt;31, "Adolescent 0-30",L401&lt;=54,"Middle Age 31-54",L401&gt;=55,"Old 55+")</f>
        <v>Middle Age 31-54</v>
      </c>
      <c r="N401" t="s">
        <v>15</v>
      </c>
    </row>
    <row r="402" spans="1:14" x14ac:dyDescent="0.2">
      <c r="A402">
        <v>25792</v>
      </c>
      <c r="B402" t="s">
        <v>37</v>
      </c>
      <c r="C402" t="s">
        <v>39</v>
      </c>
      <c r="D402" s="3">
        <v>110000</v>
      </c>
      <c r="E402">
        <v>3</v>
      </c>
      <c r="F402" t="s">
        <v>13</v>
      </c>
      <c r="G402" t="s">
        <v>28</v>
      </c>
      <c r="H402" t="s">
        <v>15</v>
      </c>
      <c r="I402">
        <v>4</v>
      </c>
      <c r="J402" t="s">
        <v>47</v>
      </c>
      <c r="K402" t="s">
        <v>17</v>
      </c>
      <c r="L402">
        <v>53</v>
      </c>
      <c r="M402" t="str" cm="1">
        <f t="array" ref="M402">_xlfn.IFS(L402&lt;31, "Adolescent 0-30",L402&lt;=54,"Middle Age 31-54",L402&gt;=55,"Old 55+")</f>
        <v>Middle Age 31-54</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cm="1">
        <f t="array" ref="M403">_xlfn.IFS(L403&lt;31, "Adolescent 0-30",L403&lt;=54,"Middle Age 31-54",L403&gt;=55,"Old 55+")</f>
        <v>Old 55+</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cm="1">
        <f t="array" ref="M404">_xlfn.IFS(L404&lt;31, "Adolescent 0-30",L404&lt;=54,"Middle Age 31-54",L404&gt;=55,"Old 55+")</f>
        <v>Middle Age 31-54</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cm="1">
        <f t="array" ref="M405">_xlfn.IFS(L405&lt;31, "Adolescent 0-30",L405&lt;=54,"Middle Age 31-54",L405&gt;=55,"Old 55+")</f>
        <v>Middle Age 31-54</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cm="1">
        <f t="array" ref="M406">_xlfn.IFS(L406&lt;31, "Adolescent 0-30",L406&lt;=54,"Middle Age 31-54",L406&gt;=55,"Old 55+")</f>
        <v>Middle Age 31-54</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cm="1">
        <f t="array" ref="M407">_xlfn.IFS(L407&lt;31, "Adolescent 0-30",L407&lt;=54,"Middle Age 31-54",L407&gt;=55,"Old 55+")</f>
        <v>Middle Age 31-54</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cm="1">
        <f t="array" ref="M408">_xlfn.IFS(L408&lt;31, "Adolescent 0-30",L408&lt;=54,"Middle Age 31-54",L408&gt;=55,"Old 55+")</f>
        <v>Middle Age 31-54</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cm="1">
        <f t="array" ref="M409">_xlfn.IFS(L409&lt;31, "Adolescent 0-30",L409&lt;=54,"Middle Age 31-54",L409&gt;=55,"Old 55+")</f>
        <v>Middle Age 31-54</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cm="1">
        <f t="array" ref="M410">_xlfn.IFS(L410&lt;31, "Adolescent 0-30",L410&lt;=54,"Middle Age 31-54",L410&gt;=55,"Old 55+")</f>
        <v>Middle Age 31-54</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cm="1">
        <f t="array" ref="M411">_xlfn.IFS(L411&lt;31, "Adolescent 0-30",L411&lt;=54,"Middle Age 31-54",L411&gt;=55,"Old 55+")</f>
        <v>Middle Age 31-54</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cm="1">
        <f t="array" ref="M412">_xlfn.IFS(L412&lt;31, "Adolescent 0-30",L412&lt;=54,"Middle Age 31-54",L412&gt;=55,"Old 55+")</f>
        <v>Middle Age 31-54</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cm="1">
        <f t="array" ref="M413">_xlfn.IFS(L413&lt;31, "Adolescent 0-30",L413&lt;=54,"Middle Age 31-54",L413&gt;=55,"Old 55+")</f>
        <v>Middle Age 31-54</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cm="1">
        <f t="array" ref="M414">_xlfn.IFS(L414&lt;31, "Adolescent 0-30",L414&lt;=54,"Middle Age 31-54",L414&gt;=55,"Old 55+")</f>
        <v>Middle Age 31-54</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cm="1">
        <f t="array" ref="M415">_xlfn.IFS(L415&lt;31, "Adolescent 0-30",L415&lt;=54,"Middle Age 31-54",L415&gt;=55,"Old 55+")</f>
        <v>Old 55+</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cm="1">
        <f t="array" ref="M416">_xlfn.IFS(L416&lt;31, "Adolescent 0-30",L416&lt;=54,"Middle Age 31-54",L416&gt;=55,"Old 55+")</f>
        <v>Middle Age 31-54</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cm="1">
        <f t="array" ref="M417">_xlfn.IFS(L417&lt;31, "Adolescent 0-30",L417&lt;=54,"Middle Age 31-54",L417&gt;=55,"Old 55+")</f>
        <v>Middle Age 31-54</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cm="1">
        <f t="array" ref="M418">_xlfn.IFS(L418&lt;31, "Adolescent 0-30",L418&lt;=54,"Middle Age 31-54",L418&gt;=55,"Old 55+")</f>
        <v>Middle Age 31-54</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cm="1">
        <f t="array" ref="M419">_xlfn.IFS(L419&lt;31, "Adolescent 0-30",L419&lt;=54,"Middle Age 31-54",L419&gt;=55,"Old 55+")</f>
        <v>Old 55+</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cm="1">
        <f t="array" ref="M420">_xlfn.IFS(L420&lt;31, "Adolescent 0-30",L420&lt;=54,"Middle Age 31-54",L420&gt;=55,"Old 55+")</f>
        <v>Middle Age 31-54</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cm="1">
        <f t="array" ref="M421">_xlfn.IFS(L421&lt;31, "Adolescent 0-30",L421&lt;=54,"Middle Age 31-54",L421&gt;=55,"Old 55+")</f>
        <v>Middle Age 31-54</v>
      </c>
      <c r="N421" t="s">
        <v>15</v>
      </c>
    </row>
    <row r="422" spans="1:14" x14ac:dyDescent="0.2">
      <c r="A422">
        <v>18153</v>
      </c>
      <c r="B422" t="s">
        <v>36</v>
      </c>
      <c r="C422" t="s">
        <v>39</v>
      </c>
      <c r="D422" s="3">
        <v>100000</v>
      </c>
      <c r="E422">
        <v>2</v>
      </c>
      <c r="F422" t="s">
        <v>13</v>
      </c>
      <c r="G422" t="s">
        <v>28</v>
      </c>
      <c r="H422" t="s">
        <v>15</v>
      </c>
      <c r="I422">
        <v>4</v>
      </c>
      <c r="J422" t="s">
        <v>47</v>
      </c>
      <c r="K422" t="s">
        <v>17</v>
      </c>
      <c r="L422">
        <v>59</v>
      </c>
      <c r="M422" t="str" cm="1">
        <f t="array" ref="M422">_xlfn.IFS(L422&lt;31, "Adolescent 0-30",L422&lt;=54,"Middle Age 31-54",L422&gt;=55,"Old 55+")</f>
        <v>Old 55+</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cm="1">
        <f t="array" ref="M423">_xlfn.IFS(L423&lt;31, "Adolescent 0-30",L423&lt;=54,"Middle Age 31-54",L423&gt;=55,"Old 55+")</f>
        <v>Middle Age 31-54</v>
      </c>
      <c r="N423" t="s">
        <v>18</v>
      </c>
    </row>
    <row r="424" spans="1:14" x14ac:dyDescent="0.2">
      <c r="A424">
        <v>24901</v>
      </c>
      <c r="B424" t="s">
        <v>37</v>
      </c>
      <c r="C424" t="s">
        <v>38</v>
      </c>
      <c r="D424" s="3">
        <v>110000</v>
      </c>
      <c r="E424">
        <v>0</v>
      </c>
      <c r="F424" t="s">
        <v>19</v>
      </c>
      <c r="G424" t="s">
        <v>28</v>
      </c>
      <c r="H424" t="s">
        <v>18</v>
      </c>
      <c r="I424">
        <v>3</v>
      </c>
      <c r="J424" t="s">
        <v>47</v>
      </c>
      <c r="K424" t="s">
        <v>24</v>
      </c>
      <c r="L424">
        <v>32</v>
      </c>
      <c r="M424" t="str" cm="1">
        <f t="array" ref="M424">_xlfn.IFS(L424&lt;31, "Adolescent 0-30",L424&lt;=54,"Middle Age 31-54",L424&gt;=55,"Old 55+")</f>
        <v>Middle Age 31-54</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cm="1">
        <f t="array" ref="M425">_xlfn.IFS(L425&lt;31, "Adolescent 0-30",L425&lt;=54,"Middle Age 31-54",L425&gt;=55,"Old 55+")</f>
        <v>Middle Age 31-54</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cm="1">
        <f t="array" ref="M426">_xlfn.IFS(L426&lt;31, "Adolescent 0-30",L426&lt;=54,"Middle Age 31-54",L426&gt;=55,"Old 55+")</f>
        <v>Middle Age 31-54</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cm="1">
        <f t="array" ref="M427">_xlfn.IFS(L427&lt;31, "Adolescent 0-30",L427&lt;=54,"Middle Age 31-54",L427&gt;=55,"Old 55+")</f>
        <v>Old 55+</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cm="1">
        <f t="array" ref="M428">_xlfn.IFS(L428&lt;31, "Adolescent 0-30",L428&lt;=54,"Middle Age 31-54",L428&gt;=55,"Old 55+")</f>
        <v>Adolescent 0-30</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cm="1">
        <f t="array" ref="M429">_xlfn.IFS(L429&lt;31, "Adolescent 0-30",L429&lt;=54,"Middle Age 31-54",L429&gt;=55,"Old 55+")</f>
        <v>Middle Age 31-54</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cm="1">
        <f t="array" ref="M430">_xlfn.IFS(L430&lt;31, "Adolescent 0-30",L430&lt;=54,"Middle Age 31-54",L430&gt;=55,"Old 55+")</f>
        <v>Middle Age 31-54</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cm="1">
        <f t="array" ref="M431">_xlfn.IFS(L431&lt;31, "Adolescent 0-30",L431&lt;=54,"Middle Age 31-54",L431&gt;=55,"Old 55+")</f>
        <v>Middle Age 31-54</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cm="1">
        <f t="array" ref="M432">_xlfn.IFS(L432&lt;31, "Adolescent 0-30",L432&lt;=54,"Middle Age 31-54",L432&gt;=55,"Old 55+")</f>
        <v>Old 55+</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cm="1">
        <f t="array" ref="M433">_xlfn.IFS(L433&lt;31, "Adolescent 0-30",L433&lt;=54,"Middle Age 31-54",L433&gt;=55,"Old 55+")</f>
        <v>Adolescent 0-30</v>
      </c>
      <c r="N433" t="s">
        <v>15</v>
      </c>
    </row>
    <row r="434" spans="1:14" x14ac:dyDescent="0.2">
      <c r="A434">
        <v>21891</v>
      </c>
      <c r="B434" t="s">
        <v>36</v>
      </c>
      <c r="C434" t="s">
        <v>39</v>
      </c>
      <c r="D434" s="3">
        <v>110000</v>
      </c>
      <c r="E434">
        <v>0</v>
      </c>
      <c r="F434" t="s">
        <v>27</v>
      </c>
      <c r="G434" t="s">
        <v>28</v>
      </c>
      <c r="H434" t="s">
        <v>15</v>
      </c>
      <c r="I434">
        <v>3</v>
      </c>
      <c r="J434" t="s">
        <v>47</v>
      </c>
      <c r="K434" t="s">
        <v>24</v>
      </c>
      <c r="L434">
        <v>34</v>
      </c>
      <c r="M434" t="str" cm="1">
        <f t="array" ref="M434">_xlfn.IFS(L434&lt;31, "Adolescent 0-30",L434&lt;=54,"Middle Age 31-54",L434&gt;=55,"Old 55+")</f>
        <v>Middle Age 31-54</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cm="1">
        <f t="array" ref="M435">_xlfn.IFS(L435&lt;31, "Adolescent 0-30",L435&lt;=54,"Middle Age 31-54",L435&gt;=55,"Old 55+")</f>
        <v>Adolescent 0-30</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cm="1">
        <f t="array" ref="M436">_xlfn.IFS(L436&lt;31, "Adolescent 0-30",L436&lt;=54,"Middle Age 31-54",L436&gt;=55,"Old 55+")</f>
        <v>Middle Age 31-54</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cm="1">
        <f t="array" ref="M437">_xlfn.IFS(L437&lt;31, "Adolescent 0-30",L437&lt;=54,"Middle Age 31-54",L437&gt;=55,"Old 55+")</f>
        <v>Old 55+</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cm="1">
        <f t="array" ref="M438">_xlfn.IFS(L438&lt;31, "Adolescent 0-30",L438&lt;=54,"Middle Age 31-54",L438&gt;=55,"Old 55+")</f>
        <v>Middle Age 31-54</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cm="1">
        <f t="array" ref="M439">_xlfn.IFS(L439&lt;31, "Adolescent 0-30",L439&lt;=54,"Middle Age 31-54",L439&gt;=55,"Old 55+")</f>
        <v>Adolescent 0-30</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cm="1">
        <f t="array" ref="M440">_xlfn.IFS(L440&lt;31, "Adolescent 0-30",L440&lt;=54,"Middle Age 31-54",L440&gt;=55,"Old 55+")</f>
        <v>Middle Age 31-54</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cm="1">
        <f t="array" ref="M441">_xlfn.IFS(L441&lt;31, "Adolescent 0-30",L441&lt;=54,"Middle Age 31-54",L441&gt;=55,"Old 55+")</f>
        <v>Middle Age 31-54</v>
      </c>
      <c r="N441" t="s">
        <v>18</v>
      </c>
    </row>
    <row r="442" spans="1:14" x14ac:dyDescent="0.2">
      <c r="A442">
        <v>21561</v>
      </c>
      <c r="B442" t="s">
        <v>37</v>
      </c>
      <c r="C442" t="s">
        <v>38</v>
      </c>
      <c r="D442" s="3">
        <v>90000</v>
      </c>
      <c r="E442">
        <v>0</v>
      </c>
      <c r="F442" t="s">
        <v>13</v>
      </c>
      <c r="G442" t="s">
        <v>21</v>
      </c>
      <c r="H442" t="s">
        <v>18</v>
      </c>
      <c r="I442">
        <v>3</v>
      </c>
      <c r="J442" t="s">
        <v>47</v>
      </c>
      <c r="K442" t="s">
        <v>24</v>
      </c>
      <c r="L442">
        <v>34</v>
      </c>
      <c r="M442" t="str" cm="1">
        <f t="array" ref="M442">_xlfn.IFS(L442&lt;31, "Adolescent 0-30",L442&lt;=54,"Middle Age 31-54",L442&gt;=55,"Old 55+")</f>
        <v>Middle Age 31-54</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cm="1">
        <f t="array" ref="M443">_xlfn.IFS(L443&lt;31, "Adolescent 0-30",L443&lt;=54,"Middle Age 31-54",L443&gt;=55,"Old 55+")</f>
        <v>Middle Age 31-54</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cm="1">
        <f t="array" ref="M444">_xlfn.IFS(L444&lt;31, "Adolescent 0-30",L444&lt;=54,"Middle Age 31-54",L444&gt;=55,"Old 55+")</f>
        <v>Middle Age 31-54</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cm="1">
        <f t="array" ref="M445">_xlfn.IFS(L445&lt;31, "Adolescent 0-30",L445&lt;=54,"Middle Age 31-54",L445&gt;=55,"Old 55+")</f>
        <v>Middle Age 31-54</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cm="1">
        <f t="array" ref="M446">_xlfn.IFS(L446&lt;31, "Adolescent 0-30",L446&lt;=54,"Middle Age 31-54",L446&gt;=55,"Old 55+")</f>
        <v>Middle Age 31-54</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cm="1">
        <f t="array" ref="M447">_xlfn.IFS(L447&lt;31, "Adolescent 0-30",L447&lt;=54,"Middle Age 31-54",L447&gt;=55,"Old 55+")</f>
        <v>Middle Age 31-54</v>
      </c>
      <c r="N447" t="s">
        <v>15</v>
      </c>
    </row>
    <row r="448" spans="1:14" x14ac:dyDescent="0.2">
      <c r="A448">
        <v>14278</v>
      </c>
      <c r="B448" t="s">
        <v>36</v>
      </c>
      <c r="C448" t="s">
        <v>39</v>
      </c>
      <c r="D448" s="3">
        <v>130000</v>
      </c>
      <c r="E448">
        <v>0</v>
      </c>
      <c r="F448" t="s">
        <v>31</v>
      </c>
      <c r="G448" t="s">
        <v>28</v>
      </c>
      <c r="H448" t="s">
        <v>15</v>
      </c>
      <c r="I448">
        <v>1</v>
      </c>
      <c r="J448" t="s">
        <v>47</v>
      </c>
      <c r="K448" t="s">
        <v>24</v>
      </c>
      <c r="L448">
        <v>48</v>
      </c>
      <c r="M448" t="str" cm="1">
        <f t="array" ref="M448">_xlfn.IFS(L448&lt;31, "Adolescent 0-30",L448&lt;=54,"Middle Age 31-54",L448&gt;=55,"Old 55+")</f>
        <v>Middle Age 31-54</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cm="1">
        <f t="array" ref="M449">_xlfn.IFS(L449&lt;31, "Adolescent 0-30",L449&lt;=54,"Middle Age 31-54",L449&gt;=55,"Old 55+")</f>
        <v>Middle Age 31-54</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cm="1">
        <f t="array" ref="M450">_xlfn.IFS(L450&lt;31, "Adolescent 0-30",L450&lt;=54,"Middle Age 31-54",L450&gt;=55,"Old 55+")</f>
        <v>Middle Age 31-54</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cm="1">
        <f t="array" ref="M451">_xlfn.IFS(L451&lt;31, "Adolescent 0-30",L451&lt;=54,"Middle Age 31-54",L451&gt;=55,"Old 55+")</f>
        <v>Middle Age 31-54</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cm="1">
        <f t="array" ref="M452">_xlfn.IFS(L452&lt;31, "Adolescent 0-30",L452&lt;=54,"Middle Age 31-54",L452&gt;=55,"Old 55+")</f>
        <v>Middle Age 31-54</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cm="1">
        <f t="array" ref="M453">_xlfn.IFS(L453&lt;31, "Adolescent 0-30",L453&lt;=54,"Middle Age 31-54",L453&gt;=55,"Old 55+")</f>
        <v>Middle Age 31-54</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cm="1">
        <f t="array" ref="M454">_xlfn.IFS(L454&lt;31, "Adolescent 0-30",L454&lt;=54,"Middle Age 31-54",L454&gt;=55,"Old 55+")</f>
        <v>Old 55+</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cm="1">
        <f t="array" ref="M455">_xlfn.IFS(L455&lt;31, "Adolescent 0-30",L455&lt;=54,"Middle Age 31-54",L455&gt;=55,"Old 55+")</f>
        <v>Middle Age 31-54</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cm="1">
        <f t="array" ref="M456">_xlfn.IFS(L456&lt;31, "Adolescent 0-30",L456&lt;=54,"Middle Age 31-54",L456&gt;=55,"Old 55+")</f>
        <v>Middle Age 31-54</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cm="1">
        <f t="array" ref="M457">_xlfn.IFS(L457&lt;31, "Adolescent 0-30",L457&lt;=54,"Middle Age 31-54",L457&gt;=55,"Old 55+")</f>
        <v>Middle Age 31-54</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cm="1">
        <f t="array" ref="M458">_xlfn.IFS(L458&lt;31, "Adolescent 0-30",L458&lt;=54,"Middle Age 31-54",L458&gt;=55,"Old 55+")</f>
        <v>Middle Age 31-54</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cm="1">
        <f t="array" ref="M459">_xlfn.IFS(L459&lt;31, "Adolescent 0-30",L459&lt;=54,"Middle Age 31-54",L459&gt;=55,"Old 55+")</f>
        <v>Old 55+</v>
      </c>
      <c r="N459" t="s">
        <v>18</v>
      </c>
    </row>
    <row r="460" spans="1:14" x14ac:dyDescent="0.2">
      <c r="A460">
        <v>21560</v>
      </c>
      <c r="B460" t="s">
        <v>36</v>
      </c>
      <c r="C460" t="s">
        <v>38</v>
      </c>
      <c r="D460" s="3">
        <v>120000</v>
      </c>
      <c r="E460">
        <v>0</v>
      </c>
      <c r="F460" t="s">
        <v>29</v>
      </c>
      <c r="G460" t="s">
        <v>21</v>
      </c>
      <c r="H460" t="s">
        <v>15</v>
      </c>
      <c r="I460">
        <v>4</v>
      </c>
      <c r="J460" t="s">
        <v>47</v>
      </c>
      <c r="K460" t="s">
        <v>24</v>
      </c>
      <c r="L460">
        <v>32</v>
      </c>
      <c r="M460" t="str" cm="1">
        <f t="array" ref="M460">_xlfn.IFS(L460&lt;31, "Adolescent 0-30",L460&lt;=54,"Middle Age 31-54",L460&gt;=55,"Old 55+")</f>
        <v>Middle Age 31-54</v>
      </c>
      <c r="N460" t="s">
        <v>15</v>
      </c>
    </row>
    <row r="461" spans="1:14" x14ac:dyDescent="0.2">
      <c r="A461">
        <v>21554</v>
      </c>
      <c r="B461" t="s">
        <v>37</v>
      </c>
      <c r="C461" t="s">
        <v>39</v>
      </c>
      <c r="D461" s="3">
        <v>80000</v>
      </c>
      <c r="E461">
        <v>0</v>
      </c>
      <c r="F461" t="s">
        <v>13</v>
      </c>
      <c r="G461" t="s">
        <v>21</v>
      </c>
      <c r="H461" t="s">
        <v>18</v>
      </c>
      <c r="I461">
        <v>3</v>
      </c>
      <c r="J461" t="s">
        <v>47</v>
      </c>
      <c r="K461" t="s">
        <v>24</v>
      </c>
      <c r="L461">
        <v>33</v>
      </c>
      <c r="M461" t="str" cm="1">
        <f t="array" ref="M461">_xlfn.IFS(L461&lt;31, "Adolescent 0-30",L461&lt;=54,"Middle Age 31-54",L461&gt;=55,"Old 55+")</f>
        <v>Middle Age 31-54</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cm="1">
        <f t="array" ref="M462">_xlfn.IFS(L462&lt;31, "Adolescent 0-30",L462&lt;=54,"Middle Age 31-54",L462&gt;=55,"Old 55+")</f>
        <v>Middle Age 31-54</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cm="1">
        <f t="array" ref="M463">_xlfn.IFS(L463&lt;31, "Adolescent 0-30",L463&lt;=54,"Middle Age 31-54",L463&gt;=55,"Old 55+")</f>
        <v>Middle Age 31-54</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cm="1">
        <f t="array" ref="M464">_xlfn.IFS(L464&lt;31, "Adolescent 0-30",L464&lt;=54,"Middle Age 31-54",L464&gt;=55,"Old 55+")</f>
        <v>Middle Age 31-54</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cm="1">
        <f t="array" ref="M465">_xlfn.IFS(L465&lt;31, "Adolescent 0-30",L465&lt;=54,"Middle Age 31-54",L465&gt;=55,"Old 55+")</f>
        <v>Middle Age 31-54</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cm="1">
        <f t="array" ref="M466">_xlfn.IFS(L466&lt;31, "Adolescent 0-30",L466&lt;=54,"Middle Age 31-54",L466&gt;=55,"Old 55+")</f>
        <v>Middle Age 31-54</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cm="1">
        <f t="array" ref="M467">_xlfn.IFS(L467&lt;31, "Adolescent 0-30",L467&lt;=54,"Middle Age 31-54",L467&gt;=55,"Old 55+")</f>
        <v>Old 55+</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cm="1">
        <f t="array" ref="M468">_xlfn.IFS(L468&lt;31, "Adolescent 0-30",L468&lt;=54,"Middle Age 31-54",L468&gt;=55,"Old 55+")</f>
        <v>Middle Age 31-54</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cm="1">
        <f t="array" ref="M469">_xlfn.IFS(L469&lt;31, "Adolescent 0-30",L469&lt;=54,"Middle Age 31-54",L469&gt;=55,"Old 55+")</f>
        <v>Middle Age 31-54</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cm="1">
        <f t="array" ref="M470">_xlfn.IFS(L470&lt;31, "Adolescent 0-30",L470&lt;=54,"Middle Age 31-54",L470&gt;=55,"Old 55+")</f>
        <v>Middle Age 31-54</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cm="1">
        <f t="array" ref="M471">_xlfn.IFS(L471&lt;31, "Adolescent 0-30",L471&lt;=54,"Middle Age 31-54",L471&gt;=55,"Old 55+")</f>
        <v>Old 55+</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cm="1">
        <f t="array" ref="M472">_xlfn.IFS(L472&lt;31, "Adolescent 0-30",L472&lt;=54,"Middle Age 31-54",L472&gt;=55,"Old 55+")</f>
        <v>Adolescent 0-30</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cm="1">
        <f t="array" ref="M473">_xlfn.IFS(L473&lt;31, "Adolescent 0-30",L473&lt;=54,"Middle Age 31-54",L473&gt;=55,"Old 55+")</f>
        <v>Middle Age 31-54</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cm="1">
        <f t="array" ref="M474">_xlfn.IFS(L474&lt;31, "Adolescent 0-30",L474&lt;=54,"Middle Age 31-54",L474&gt;=55,"Old 55+")</f>
        <v>Middle Age 31-54</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cm="1">
        <f t="array" ref="M475">_xlfn.IFS(L475&lt;31, "Adolescent 0-30",L475&lt;=54,"Middle Age 31-54",L475&gt;=55,"Old 55+")</f>
        <v>Middle Age 31-54</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cm="1">
        <f t="array" ref="M476">_xlfn.IFS(L476&lt;31, "Adolescent 0-30",L476&lt;=54,"Middle Age 31-54",L476&gt;=55,"Old 55+")</f>
        <v>Middle Age 31-54</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cm="1">
        <f t="array" ref="M477">_xlfn.IFS(L477&lt;31, "Adolescent 0-30",L477&lt;=54,"Middle Age 31-54",L477&gt;=55,"Old 55+")</f>
        <v>Old 55+</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cm="1">
        <f t="array" ref="M478">_xlfn.IFS(L478&lt;31, "Adolescent 0-30",L478&lt;=54,"Middle Age 31-54",L478&gt;=55,"Old 55+")</f>
        <v>Middle Age 31-54</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cm="1">
        <f t="array" ref="M479">_xlfn.IFS(L479&lt;31, "Adolescent 0-30",L479&lt;=54,"Middle Age 31-54",L479&gt;=55,"Old 55+")</f>
        <v>Middle Age 31-54</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cm="1">
        <f t="array" ref="M480">_xlfn.IFS(L480&lt;31, "Adolescent 0-30",L480&lt;=54,"Middle Age 31-54",L480&gt;=55,"Old 55+")</f>
        <v>Middle Age 31-54</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cm="1">
        <f t="array" ref="M481">_xlfn.IFS(L481&lt;31, "Adolescent 0-30",L481&lt;=54,"Middle Age 31-54",L481&gt;=55,"Old 55+")</f>
        <v>Middle Age 31-54</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cm="1">
        <f t="array" ref="M482">_xlfn.IFS(L482&lt;31, "Adolescent 0-30",L482&lt;=54,"Middle Age 31-54",L482&gt;=55,"Old 55+")</f>
        <v>Middle Age 31-54</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cm="1">
        <f t="array" ref="M483">_xlfn.IFS(L483&lt;31, "Adolescent 0-30",L483&lt;=54,"Middle Age 31-54",L483&gt;=55,"Old 55+")</f>
        <v>Middle Age 31-54</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cm="1">
        <f t="array" ref="M484">_xlfn.IFS(L484&lt;31, "Adolescent 0-30",L484&lt;=54,"Middle Age 31-54",L484&gt;=55,"Old 55+")</f>
        <v>Middle Age 31-54</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cm="1">
        <f t="array" ref="M485">_xlfn.IFS(L485&lt;31, "Adolescent 0-30",L485&lt;=54,"Middle Age 31-54",L485&gt;=55,"Old 55+")</f>
        <v>Old 55+</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cm="1">
        <f t="array" ref="M486">_xlfn.IFS(L486&lt;31, "Adolescent 0-30",L486&lt;=54,"Middle Age 31-54",L486&gt;=55,"Old 55+")</f>
        <v>Middle Age 31-54</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cm="1">
        <f t="array" ref="M487">_xlfn.IFS(L487&lt;31, "Adolescent 0-30",L487&lt;=54,"Middle Age 31-54",L487&gt;=55,"Old 55+")</f>
        <v>Middle Age 31-54</v>
      </c>
      <c r="N487" t="s">
        <v>18</v>
      </c>
    </row>
    <row r="488" spans="1:14" x14ac:dyDescent="0.2">
      <c r="A488">
        <v>26415</v>
      </c>
      <c r="B488" t="s">
        <v>36</v>
      </c>
      <c r="C488" t="s">
        <v>39</v>
      </c>
      <c r="D488" s="3">
        <v>90000</v>
      </c>
      <c r="E488">
        <v>4</v>
      </c>
      <c r="F488" t="s">
        <v>29</v>
      </c>
      <c r="G488" t="s">
        <v>14</v>
      </c>
      <c r="H488" t="s">
        <v>15</v>
      </c>
      <c r="I488">
        <v>4</v>
      </c>
      <c r="J488" t="s">
        <v>47</v>
      </c>
      <c r="K488" t="s">
        <v>17</v>
      </c>
      <c r="L488">
        <v>58</v>
      </c>
      <c r="M488" t="str" cm="1">
        <f t="array" ref="M488">_xlfn.IFS(L488&lt;31, "Adolescent 0-30",L488&lt;=54,"Middle Age 31-54",L488&gt;=55,"Old 55+")</f>
        <v>Old 55+</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cm="1">
        <f t="array" ref="M489">_xlfn.IFS(L489&lt;31, "Adolescent 0-30",L489&lt;=54,"Middle Age 31-54",L489&gt;=55,"Old 55+")</f>
        <v>Middle Age 31-54</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cm="1">
        <f t="array" ref="M490">_xlfn.IFS(L490&lt;31, "Adolescent 0-30",L490&lt;=54,"Middle Age 31-54",L490&gt;=55,"Old 55+")</f>
        <v>Middle Age 31-54</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cm="1">
        <f t="array" ref="M491">_xlfn.IFS(L491&lt;31, "Adolescent 0-30",L491&lt;=54,"Middle Age 31-54",L491&gt;=55,"Old 55+")</f>
        <v>Middle Age 31-54</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cm="1">
        <f t="array" ref="M492">_xlfn.IFS(L492&lt;31, "Adolescent 0-30",L492&lt;=54,"Middle Age 31-54",L492&gt;=55,"Old 55+")</f>
        <v>Middle Age 31-54</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cm="1">
        <f t="array" ref="M493">_xlfn.IFS(L493&lt;31, "Adolescent 0-30",L493&lt;=54,"Middle Age 31-54",L493&gt;=55,"Old 55+")</f>
        <v>Middle Age 31-54</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cm="1">
        <f t="array" ref="M494">_xlfn.IFS(L494&lt;31, "Adolescent 0-30",L494&lt;=54,"Middle Age 31-54",L494&gt;=55,"Old 55+")</f>
        <v>Middle Age 31-54</v>
      </c>
      <c r="N494" t="s">
        <v>15</v>
      </c>
    </row>
    <row r="495" spans="1:14" x14ac:dyDescent="0.2">
      <c r="A495">
        <v>23707</v>
      </c>
      <c r="B495" t="s">
        <v>37</v>
      </c>
      <c r="C495" t="s">
        <v>38</v>
      </c>
      <c r="D495" s="3">
        <v>70000</v>
      </c>
      <c r="E495">
        <v>5</v>
      </c>
      <c r="F495" t="s">
        <v>13</v>
      </c>
      <c r="G495" t="s">
        <v>28</v>
      </c>
      <c r="H495" t="s">
        <v>15</v>
      </c>
      <c r="I495">
        <v>3</v>
      </c>
      <c r="J495" t="s">
        <v>47</v>
      </c>
      <c r="K495" t="s">
        <v>32</v>
      </c>
      <c r="L495">
        <v>60</v>
      </c>
      <c r="M495" t="str" cm="1">
        <f t="array" ref="M495">_xlfn.IFS(L495&lt;31, "Adolescent 0-30",L495&lt;=54,"Middle Age 31-54",L495&gt;=55,"Old 55+")</f>
        <v>Old 55+</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cm="1">
        <f t="array" ref="M496">_xlfn.IFS(L496&lt;31, "Adolescent 0-30",L496&lt;=54,"Middle Age 31-54",L496&gt;=55,"Old 55+")</f>
        <v>Middle Age 31-54</v>
      </c>
      <c r="N496" t="s">
        <v>18</v>
      </c>
    </row>
    <row r="497" spans="1:14" x14ac:dyDescent="0.2">
      <c r="A497">
        <v>24981</v>
      </c>
      <c r="B497" t="s">
        <v>36</v>
      </c>
      <c r="C497" t="s">
        <v>38</v>
      </c>
      <c r="D497" s="3">
        <v>60000</v>
      </c>
      <c r="E497">
        <v>2</v>
      </c>
      <c r="F497" t="s">
        <v>19</v>
      </c>
      <c r="G497" t="s">
        <v>21</v>
      </c>
      <c r="H497" t="s">
        <v>15</v>
      </c>
      <c r="I497">
        <v>2</v>
      </c>
      <c r="J497" t="s">
        <v>47</v>
      </c>
      <c r="K497" t="s">
        <v>32</v>
      </c>
      <c r="L497">
        <v>56</v>
      </c>
      <c r="M497" t="str" cm="1">
        <f t="array" ref="M497">_xlfn.IFS(L497&lt;31, "Adolescent 0-30",L497&lt;=54,"Middle Age 31-54",L497&gt;=55,"Old 55+")</f>
        <v>Old 55+</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cm="1">
        <f t="array" ref="M498">_xlfn.IFS(L498&lt;31, "Adolescent 0-30",L498&lt;=54,"Middle Age 31-54",L498&gt;=55,"Old 55+")</f>
        <v>Middle Age 31-54</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cm="1">
        <f t="array" ref="M499">_xlfn.IFS(L499&lt;31, "Adolescent 0-30",L499&lt;=54,"Middle Age 31-54",L499&gt;=55,"Old 55+")</f>
        <v>Middle Age 31-54</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cm="1">
        <f t="array" ref="M500">_xlfn.IFS(L500&lt;31, "Adolescent 0-30",L500&lt;=54,"Middle Age 31-54",L500&gt;=55,"Old 55+")</f>
        <v>Middle Age 31-54</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cm="1">
        <f t="array" ref="M501">_xlfn.IFS(L501&lt;31, "Adolescent 0-30",L501&lt;=54,"Middle Age 31-54",L501&gt;=55,"Old 55+")</f>
        <v>Middle Age 31-54</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cm="1">
        <f t="array" ref="M502">_xlfn.IFS(L502&lt;31, "Adolescent 0-30",L502&lt;=54,"Middle Age 31-54",L502&gt;=55,"Old 55+")</f>
        <v>Middle Age 31-54</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cm="1">
        <f t="array" ref="M503">_xlfn.IFS(L503&lt;31, "Adolescent 0-30",L503&lt;=54,"Middle Age 31-54",L503&gt;=55,"Old 55+")</f>
        <v>Middle Age 31-54</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cm="1">
        <f t="array" ref="M504">_xlfn.IFS(L504&lt;31, "Adolescent 0-30",L504&lt;=54,"Middle Age 31-54",L504&gt;=55,"Old 55+")</f>
        <v>Adolescent 0-30</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cm="1">
        <f t="array" ref="M505">_xlfn.IFS(L505&lt;31, "Adolescent 0-30",L505&lt;=54,"Middle Age 31-54",L505&gt;=55,"Old 55+")</f>
        <v>Middle Age 31-54</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cm="1">
        <f t="array" ref="M506">_xlfn.IFS(L506&lt;31, "Adolescent 0-30",L506&lt;=54,"Middle Age 31-54",L506&gt;=55,"Old 55+")</f>
        <v>Middle Age 31-54</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cm="1">
        <f t="array" ref="M507">_xlfn.IFS(L507&lt;31, "Adolescent 0-30",L507&lt;=54,"Middle Age 31-54",L507&gt;=55,"Old 55+")</f>
        <v>Middle Age 31-54</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cm="1">
        <f t="array" ref="M508">_xlfn.IFS(L508&lt;31, "Adolescent 0-30",L508&lt;=54,"Middle Age 31-54",L508&gt;=55,"Old 55+")</f>
        <v>Middle Age 31-54</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cm="1">
        <f t="array" ref="M509">_xlfn.IFS(L509&lt;31, "Adolescent 0-30",L509&lt;=54,"Middle Age 31-54",L509&gt;=55,"Old 55+")</f>
        <v>Middle Age 31-54</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cm="1">
        <f t="array" ref="M510">_xlfn.IFS(L510&lt;31, "Adolescent 0-30",L510&lt;=54,"Middle Age 31-54",L510&gt;=55,"Old 55+")</f>
        <v>Adolescent 0-30</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cm="1">
        <f t="array" ref="M511">_xlfn.IFS(L511&lt;31, "Adolescent 0-30",L511&lt;=54,"Middle Age 31-54",L511&gt;=55,"Old 55+")</f>
        <v>Middle Age 31-54</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cm="1">
        <f t="array" ref="M512">_xlfn.IFS(L512&lt;31, "Adolescent 0-30",L512&lt;=54,"Middle Age 31-54",L512&gt;=55,"Old 55+")</f>
        <v>Middle Age 31-54</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cm="1">
        <f t="array" ref="M513">_xlfn.IFS(L513&lt;31, "Adolescent 0-30",L513&lt;=54,"Middle Age 31-54",L513&gt;=55,"Old 55+")</f>
        <v>Old 55+</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cm="1">
        <f t="array" ref="M514">_xlfn.IFS(L514&lt;31, "Adolescent 0-30",L514&lt;=54,"Middle Age 31-54",L514&gt;=55,"Old 55+")</f>
        <v>Middle Age 31-54</v>
      </c>
      <c r="N514" t="s">
        <v>15</v>
      </c>
    </row>
    <row r="515" spans="1:14" x14ac:dyDescent="0.2">
      <c r="A515">
        <v>13353</v>
      </c>
      <c r="B515" t="s">
        <v>37</v>
      </c>
      <c r="C515" t="s">
        <v>39</v>
      </c>
      <c r="D515" s="3">
        <v>60000</v>
      </c>
      <c r="E515">
        <v>4</v>
      </c>
      <c r="F515" t="s">
        <v>31</v>
      </c>
      <c r="G515" t="s">
        <v>28</v>
      </c>
      <c r="H515" t="s">
        <v>15</v>
      </c>
      <c r="I515">
        <v>2</v>
      </c>
      <c r="J515" t="s">
        <v>47</v>
      </c>
      <c r="K515" t="s">
        <v>32</v>
      </c>
      <c r="L515">
        <v>61</v>
      </c>
      <c r="M515" t="str" cm="1">
        <f t="array" ref="M515">_xlfn.IFS(L515&lt;31, "Adolescent 0-30",L515&lt;=54,"Middle Age 31-54",L515&gt;=55,"Old 55+")</f>
        <v>Old 55+</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cm="1">
        <f t="array" ref="M516">_xlfn.IFS(L516&lt;31, "Adolescent 0-30",L516&lt;=54,"Middle Age 31-54",L516&gt;=55,"Old 55+")</f>
        <v>Middle Age 31-54</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cm="1">
        <f t="array" ref="M517">_xlfn.IFS(L517&lt;31, "Adolescent 0-30",L517&lt;=54,"Middle Age 31-54",L517&gt;=55,"Old 55+")</f>
        <v>Middle Age 31-54</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cm="1">
        <f t="array" ref="M518">_xlfn.IFS(L518&lt;31, "Adolescent 0-30",L518&lt;=54,"Middle Age 31-54",L518&gt;=55,"Old 55+")</f>
        <v>Middle Age 31-54</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cm="1">
        <f t="array" ref="M519">_xlfn.IFS(L519&lt;31, "Adolescent 0-30",L519&lt;=54,"Middle Age 31-54",L519&gt;=55,"Old 55+")</f>
        <v>Middle Age 31-54</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cm="1">
        <f t="array" ref="M520">_xlfn.IFS(L520&lt;31, "Adolescent 0-30",L520&lt;=54,"Middle Age 31-54",L520&gt;=55,"Old 55+")</f>
        <v>Middle Age 31-54</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cm="1">
        <f t="array" ref="M521">_xlfn.IFS(L521&lt;31, "Adolescent 0-30",L521&lt;=54,"Middle Age 31-54",L521&gt;=55,"Old 55+")</f>
        <v>Old 55+</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cm="1">
        <f t="array" ref="M522">_xlfn.IFS(L522&lt;31, "Adolescent 0-30",L522&lt;=54,"Middle Age 31-54",L522&gt;=55,"Old 55+")</f>
        <v>Middle Age 31-54</v>
      </c>
      <c r="N522" t="s">
        <v>18</v>
      </c>
    </row>
    <row r="523" spans="1:14" x14ac:dyDescent="0.2">
      <c r="A523">
        <v>18976</v>
      </c>
      <c r="B523" t="s">
        <v>37</v>
      </c>
      <c r="C523" t="s">
        <v>38</v>
      </c>
      <c r="D523" s="3">
        <v>40000</v>
      </c>
      <c r="E523">
        <v>4</v>
      </c>
      <c r="F523" t="s">
        <v>27</v>
      </c>
      <c r="G523" t="s">
        <v>21</v>
      </c>
      <c r="H523" t="s">
        <v>15</v>
      </c>
      <c r="I523">
        <v>2</v>
      </c>
      <c r="J523" t="s">
        <v>47</v>
      </c>
      <c r="K523" t="s">
        <v>32</v>
      </c>
      <c r="L523">
        <v>62</v>
      </c>
      <c r="M523" t="str" cm="1">
        <f t="array" ref="M523">_xlfn.IFS(L523&lt;31, "Adolescent 0-30",L523&lt;=54,"Middle Age 31-54",L523&gt;=55,"Old 55+")</f>
        <v>Old 55+</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cm="1">
        <f t="array" ref="M524">_xlfn.IFS(L524&lt;31, "Adolescent 0-30",L524&lt;=54,"Middle Age 31-54",L524&gt;=55,"Old 55+")</f>
        <v>Middle Age 31-54</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cm="1">
        <f t="array" ref="M525">_xlfn.IFS(L525&lt;31, "Adolescent 0-30",L525&lt;=54,"Middle Age 31-54",L525&gt;=55,"Old 55+")</f>
        <v>Middle Age 31-54</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cm="1">
        <f t="array" ref="M526">_xlfn.IFS(L526&lt;31, "Adolescent 0-30",L526&lt;=54,"Middle Age 31-54",L526&gt;=55,"Old 55+")</f>
        <v>Old 55+</v>
      </c>
      <c r="N526" t="s">
        <v>18</v>
      </c>
    </row>
    <row r="527" spans="1:14" x14ac:dyDescent="0.2">
      <c r="A527">
        <v>16791</v>
      </c>
      <c r="B527" t="s">
        <v>37</v>
      </c>
      <c r="C527" t="s">
        <v>38</v>
      </c>
      <c r="D527" s="3">
        <v>60000</v>
      </c>
      <c r="E527">
        <v>5</v>
      </c>
      <c r="F527" t="s">
        <v>13</v>
      </c>
      <c r="G527" t="s">
        <v>28</v>
      </c>
      <c r="H527" t="s">
        <v>15</v>
      </c>
      <c r="I527">
        <v>3</v>
      </c>
      <c r="J527" t="s">
        <v>47</v>
      </c>
      <c r="K527" t="s">
        <v>32</v>
      </c>
      <c r="L527">
        <v>59</v>
      </c>
      <c r="M527" t="str" cm="1">
        <f t="array" ref="M527">_xlfn.IFS(L527&lt;31, "Adolescent 0-30",L527&lt;=54,"Middle Age 31-54",L527&gt;=55,"Old 55+")</f>
        <v>Old 55+</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cm="1">
        <f t="array" ref="M528">_xlfn.IFS(L528&lt;31, "Adolescent 0-30",L528&lt;=54,"Middle Age 31-54",L528&gt;=55,"Old 55+")</f>
        <v>Middle Age 31-54</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cm="1">
        <f t="array" ref="M529">_xlfn.IFS(L529&lt;31, "Adolescent 0-30",L529&lt;=54,"Middle Age 31-54",L529&gt;=55,"Old 55+")</f>
        <v>Middle Age 31-54</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cm="1">
        <f t="array" ref="M530">_xlfn.IFS(L530&lt;31, "Adolescent 0-30",L530&lt;=54,"Middle Age 31-54",L530&gt;=55,"Old 55+")</f>
        <v>Adolescent 0-30</v>
      </c>
      <c r="N530" t="s">
        <v>18</v>
      </c>
    </row>
    <row r="531" spans="1:14" x14ac:dyDescent="0.2">
      <c r="A531">
        <v>13233</v>
      </c>
      <c r="B531" t="s">
        <v>36</v>
      </c>
      <c r="C531" t="s">
        <v>38</v>
      </c>
      <c r="D531" s="3">
        <v>60000</v>
      </c>
      <c r="E531">
        <v>2</v>
      </c>
      <c r="F531" t="s">
        <v>19</v>
      </c>
      <c r="G531" t="s">
        <v>21</v>
      </c>
      <c r="H531" t="s">
        <v>15</v>
      </c>
      <c r="I531">
        <v>1</v>
      </c>
      <c r="J531" t="s">
        <v>47</v>
      </c>
      <c r="K531" t="s">
        <v>32</v>
      </c>
      <c r="L531">
        <v>57</v>
      </c>
      <c r="M531" t="str" cm="1">
        <f t="array" ref="M531">_xlfn.IFS(L531&lt;31, "Adolescent 0-30",L531&lt;=54,"Middle Age 31-54",L531&gt;=55,"Old 55+")</f>
        <v>Old 55+</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cm="1">
        <f t="array" ref="M532">_xlfn.IFS(L532&lt;31, "Adolescent 0-30",L532&lt;=54,"Middle Age 31-54",L532&gt;=55,"Old 55+")</f>
        <v>Adolescent 0-30</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cm="1">
        <f t="array" ref="M533">_xlfn.IFS(L533&lt;31, "Adolescent 0-30",L533&lt;=54,"Middle Age 31-54",L533&gt;=55,"Old 55+")</f>
        <v>Adolescent 0-30</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cm="1">
        <f t="array" ref="M534">_xlfn.IFS(L534&lt;31, "Adolescent 0-30",L534&lt;=54,"Middle Age 31-54",L534&gt;=55,"Old 55+")</f>
        <v>Middle Age 31-54</v>
      </c>
      <c r="N534" t="s">
        <v>15</v>
      </c>
    </row>
    <row r="535" spans="1:14" x14ac:dyDescent="0.2">
      <c r="A535">
        <v>24941</v>
      </c>
      <c r="B535" t="s">
        <v>36</v>
      </c>
      <c r="C535" t="s">
        <v>38</v>
      </c>
      <c r="D535" s="3">
        <v>60000</v>
      </c>
      <c r="E535">
        <v>3</v>
      </c>
      <c r="F535" t="s">
        <v>13</v>
      </c>
      <c r="G535" t="s">
        <v>28</v>
      </c>
      <c r="H535" t="s">
        <v>15</v>
      </c>
      <c r="I535">
        <v>2</v>
      </c>
      <c r="J535" t="s">
        <v>47</v>
      </c>
      <c r="K535" t="s">
        <v>32</v>
      </c>
      <c r="L535">
        <v>66</v>
      </c>
      <c r="M535" t="str" cm="1">
        <f t="array" ref="M535">_xlfn.IFS(L535&lt;31, "Adolescent 0-30",L535&lt;=54,"Middle Age 31-54",L535&gt;=55,"Old 55+")</f>
        <v>Old 55+</v>
      </c>
      <c r="N535" t="s">
        <v>18</v>
      </c>
    </row>
    <row r="536" spans="1:14" x14ac:dyDescent="0.2">
      <c r="A536">
        <v>24637</v>
      </c>
      <c r="B536" t="s">
        <v>36</v>
      </c>
      <c r="C536" t="s">
        <v>38</v>
      </c>
      <c r="D536" s="3">
        <v>40000</v>
      </c>
      <c r="E536">
        <v>4</v>
      </c>
      <c r="F536" t="s">
        <v>27</v>
      </c>
      <c r="G536" t="s">
        <v>21</v>
      </c>
      <c r="H536" t="s">
        <v>15</v>
      </c>
      <c r="I536">
        <v>2</v>
      </c>
      <c r="J536" t="s">
        <v>47</v>
      </c>
      <c r="K536" t="s">
        <v>32</v>
      </c>
      <c r="L536">
        <v>64</v>
      </c>
      <c r="M536" t="str" cm="1">
        <f t="array" ref="M536">_xlfn.IFS(L536&lt;31, "Adolescent 0-30",L536&lt;=54,"Middle Age 31-54",L536&gt;=55,"Old 55+")</f>
        <v>Old 55+</v>
      </c>
      <c r="N536" t="s">
        <v>18</v>
      </c>
    </row>
    <row r="537" spans="1:14" x14ac:dyDescent="0.2">
      <c r="A537">
        <v>23893</v>
      </c>
      <c r="B537" t="s">
        <v>36</v>
      </c>
      <c r="C537" t="s">
        <v>38</v>
      </c>
      <c r="D537" s="3">
        <v>50000</v>
      </c>
      <c r="E537">
        <v>3</v>
      </c>
      <c r="F537" t="s">
        <v>13</v>
      </c>
      <c r="G537" t="s">
        <v>14</v>
      </c>
      <c r="H537" t="s">
        <v>15</v>
      </c>
      <c r="I537">
        <v>3</v>
      </c>
      <c r="J537" t="s">
        <v>47</v>
      </c>
      <c r="K537" t="s">
        <v>32</v>
      </c>
      <c r="L537">
        <v>41</v>
      </c>
      <c r="M537" t="str" cm="1">
        <f t="array" ref="M537">_xlfn.IFS(L537&lt;31, "Adolescent 0-30",L537&lt;=54,"Middle Age 31-54",L537&gt;=55,"Old 55+")</f>
        <v>Middle Age 31-54</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cm="1">
        <f t="array" ref="M538">_xlfn.IFS(L538&lt;31, "Adolescent 0-30",L538&lt;=54,"Middle Age 31-54",L538&gt;=55,"Old 55+")</f>
        <v>Middle Age 31-54</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cm="1">
        <f t="array" ref="M539">_xlfn.IFS(L539&lt;31, "Adolescent 0-30",L539&lt;=54,"Middle Age 31-54",L539&gt;=55,"Old 55+")</f>
        <v>Middle Age 31-54</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cm="1">
        <f t="array" ref="M540">_xlfn.IFS(L540&lt;31, "Adolescent 0-30",L540&lt;=54,"Middle Age 31-54",L540&gt;=55,"Old 55+")</f>
        <v>Middle Age 31-54</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cm="1">
        <f t="array" ref="M541">_xlfn.IFS(L541&lt;31, "Adolescent 0-30",L541&lt;=54,"Middle Age 31-54",L541&gt;=55,"Old 55+")</f>
        <v>Middle Age 31-54</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cm="1">
        <f t="array" ref="M542">_xlfn.IFS(L542&lt;31, "Adolescent 0-30",L542&lt;=54,"Middle Age 31-54",L542&gt;=55,"Old 55+")</f>
        <v>Middle Age 31-54</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cm="1">
        <f t="array" ref="M543">_xlfn.IFS(L543&lt;31, "Adolescent 0-30",L543&lt;=54,"Middle Age 31-54",L543&gt;=55,"Old 55+")</f>
        <v>Middle Age 31-54</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cm="1">
        <f t="array" ref="M544">_xlfn.IFS(L544&lt;31, "Adolescent 0-30",L544&lt;=54,"Middle Age 31-54",L544&gt;=55,"Old 55+")</f>
        <v>Adolescent 0-30</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cm="1">
        <f t="array" ref="M545">_xlfn.IFS(L545&lt;31, "Adolescent 0-30",L545&lt;=54,"Middle Age 31-54",L545&gt;=55,"Old 55+")</f>
        <v>Middle Age 31-54</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cm="1">
        <f t="array" ref="M546">_xlfn.IFS(L546&lt;31, "Adolescent 0-30",L546&lt;=54,"Middle Age 31-54",L546&gt;=55,"Old 55+")</f>
        <v>Middle Age 31-54</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cm="1">
        <f t="array" ref="M547">_xlfn.IFS(L547&lt;31, "Adolescent 0-30",L547&lt;=54,"Middle Age 31-54",L547&gt;=55,"Old 55+")</f>
        <v>Adolescent 0-30</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cm="1">
        <f t="array" ref="M548">_xlfn.IFS(L548&lt;31, "Adolescent 0-30",L548&lt;=54,"Middle Age 31-54",L548&gt;=55,"Old 55+")</f>
        <v>Middle Age 31-54</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cm="1">
        <f t="array" ref="M549">_xlfn.IFS(L549&lt;31, "Adolescent 0-30",L549&lt;=54,"Middle Age 31-54",L549&gt;=55,"Old 55+")</f>
        <v>Old 55+</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cm="1">
        <f t="array" ref="M550">_xlfn.IFS(L550&lt;31, "Adolescent 0-30",L550&lt;=54,"Middle Age 31-54",L550&gt;=55,"Old 55+")</f>
        <v>Middle Age 31-54</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cm="1">
        <f t="array" ref="M551">_xlfn.IFS(L551&lt;31, "Adolescent 0-30",L551&lt;=54,"Middle Age 31-54",L551&gt;=55,"Old 55+")</f>
        <v>Middle Age 31-54</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cm="1">
        <f t="array" ref="M552">_xlfn.IFS(L552&lt;31, "Adolescent 0-30",L552&lt;=54,"Middle Age 31-54",L552&gt;=55,"Old 55+")</f>
        <v>Middle Age 31-54</v>
      </c>
      <c r="N552" t="s">
        <v>15</v>
      </c>
    </row>
    <row r="553" spans="1:14" x14ac:dyDescent="0.2">
      <c r="A553">
        <v>27393</v>
      </c>
      <c r="B553" t="s">
        <v>36</v>
      </c>
      <c r="C553" t="s">
        <v>39</v>
      </c>
      <c r="D553" s="3">
        <v>50000</v>
      </c>
      <c r="E553">
        <v>4</v>
      </c>
      <c r="F553" t="s">
        <v>13</v>
      </c>
      <c r="G553" t="s">
        <v>28</v>
      </c>
      <c r="H553" t="s">
        <v>15</v>
      </c>
      <c r="I553">
        <v>2</v>
      </c>
      <c r="J553" t="s">
        <v>47</v>
      </c>
      <c r="K553" t="s">
        <v>32</v>
      </c>
      <c r="L553">
        <v>63</v>
      </c>
      <c r="M553" t="str" cm="1">
        <f t="array" ref="M553">_xlfn.IFS(L553&lt;31, "Adolescent 0-30",L553&lt;=54,"Middle Age 31-54",L553&gt;=55,"Old 55+")</f>
        <v>Old 55+</v>
      </c>
      <c r="N553" t="s">
        <v>18</v>
      </c>
    </row>
    <row r="554" spans="1:14" x14ac:dyDescent="0.2">
      <c r="A554">
        <v>14417</v>
      </c>
      <c r="B554" t="s">
        <v>37</v>
      </c>
      <c r="C554" t="s">
        <v>38</v>
      </c>
      <c r="D554" s="3">
        <v>60000</v>
      </c>
      <c r="E554">
        <v>3</v>
      </c>
      <c r="F554" t="s">
        <v>27</v>
      </c>
      <c r="G554" t="s">
        <v>21</v>
      </c>
      <c r="H554" t="s">
        <v>15</v>
      </c>
      <c r="I554">
        <v>2</v>
      </c>
      <c r="J554" t="s">
        <v>47</v>
      </c>
      <c r="K554" t="s">
        <v>32</v>
      </c>
      <c r="L554">
        <v>54</v>
      </c>
      <c r="M554" t="str" cm="1">
        <f t="array" ref="M554">_xlfn.IFS(L554&lt;31, "Adolescent 0-30",L554&lt;=54,"Middle Age 31-54",L554&gt;=55,"Old 55+")</f>
        <v>Middle Age 31-54</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cm="1">
        <f t="array" ref="M555">_xlfn.IFS(L555&lt;31, "Adolescent 0-30",L555&lt;=54,"Middle Age 31-54",L555&gt;=55,"Old 55+")</f>
        <v>Old 55+</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cm="1">
        <f t="array" ref="M556">_xlfn.IFS(L556&lt;31, "Adolescent 0-30",L556&lt;=54,"Middle Age 31-54",L556&gt;=55,"Old 55+")</f>
        <v>Middle Age 31-54</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cm="1">
        <f t="array" ref="M557">_xlfn.IFS(L557&lt;31, "Adolescent 0-30",L557&lt;=54,"Middle Age 31-54",L557&gt;=55,"Old 55+")</f>
        <v>Middle Age 31-54</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cm="1">
        <f t="array" ref="M558">_xlfn.IFS(L558&lt;31, "Adolescent 0-30",L558&lt;=54,"Middle Age 31-54",L558&gt;=55,"Old 55+")</f>
        <v>Middle Age 31-54</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cm="1">
        <f t="array" ref="M559">_xlfn.IFS(L559&lt;31, "Adolescent 0-30",L559&lt;=54,"Middle Age 31-54",L559&gt;=55,"Old 55+")</f>
        <v>Middle Age 31-54</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cm="1">
        <f t="array" ref="M560">_xlfn.IFS(L560&lt;31, "Adolescent 0-30",L560&lt;=54,"Middle Age 31-54",L560&gt;=55,"Old 55+")</f>
        <v>Middle Age 31-54</v>
      </c>
      <c r="N560" t="s">
        <v>18</v>
      </c>
    </row>
    <row r="561" spans="1:14" x14ac:dyDescent="0.2">
      <c r="A561">
        <v>15895</v>
      </c>
      <c r="B561" t="s">
        <v>37</v>
      </c>
      <c r="C561" t="s">
        <v>39</v>
      </c>
      <c r="D561" s="3">
        <v>60000</v>
      </c>
      <c r="E561">
        <v>2</v>
      </c>
      <c r="F561" t="s">
        <v>13</v>
      </c>
      <c r="G561" t="s">
        <v>28</v>
      </c>
      <c r="H561" t="s">
        <v>15</v>
      </c>
      <c r="I561">
        <v>0</v>
      </c>
      <c r="J561" t="s">
        <v>47</v>
      </c>
      <c r="K561" t="s">
        <v>32</v>
      </c>
      <c r="L561">
        <v>58</v>
      </c>
      <c r="M561" t="str" cm="1">
        <f t="array" ref="M561">_xlfn.IFS(L561&lt;31, "Adolescent 0-30",L561&lt;=54,"Middle Age 31-54",L561&gt;=55,"Old 55+")</f>
        <v>Old 55+</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cm="1">
        <f t="array" ref="M562">_xlfn.IFS(L562&lt;31, "Adolescent 0-30",L562&lt;=54,"Middle Age 31-54",L562&gt;=55,"Old 55+")</f>
        <v>Middle Age 31-54</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cm="1">
        <f t="array" ref="M563">_xlfn.IFS(L563&lt;31, "Adolescent 0-30",L563&lt;=54,"Middle Age 31-54",L563&gt;=55,"Old 55+")</f>
        <v>Middle Age 31-54</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cm="1">
        <f t="array" ref="M564">_xlfn.IFS(L564&lt;31, "Adolescent 0-30",L564&lt;=54,"Middle Age 31-54",L564&gt;=55,"Old 55+")</f>
        <v>Middle Age 31-54</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cm="1">
        <f t="array" ref="M565">_xlfn.IFS(L565&lt;31, "Adolescent 0-30",L565&lt;=54,"Middle Age 31-54",L565&gt;=55,"Old 55+")</f>
        <v>Adolescent 0-30</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cm="1">
        <f t="array" ref="M566">_xlfn.IFS(L566&lt;31, "Adolescent 0-30",L566&lt;=54,"Middle Age 31-54",L566&gt;=55,"Old 55+")</f>
        <v>Adolescent 0-30</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cm="1">
        <f t="array" ref="M567">_xlfn.IFS(L567&lt;31, "Adolescent 0-30",L567&lt;=54,"Middle Age 31-54",L567&gt;=55,"Old 55+")</f>
        <v>Middle Age 31-54</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cm="1">
        <f t="array" ref="M568">_xlfn.IFS(L568&lt;31, "Adolescent 0-30",L568&lt;=54,"Middle Age 31-54",L568&gt;=55,"Old 55+")</f>
        <v>Old 55+</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cm="1">
        <f t="array" ref="M569">_xlfn.IFS(L569&lt;31, "Adolescent 0-30",L569&lt;=54,"Middle Age 31-54",L569&gt;=55,"Old 55+")</f>
        <v>Middle Age 31-54</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cm="1">
        <f t="array" ref="M570">_xlfn.IFS(L570&lt;31, "Adolescent 0-30",L570&lt;=54,"Middle Age 31-54",L570&gt;=55,"Old 55+")</f>
        <v>Middle Age 31-54</v>
      </c>
      <c r="N570" t="s">
        <v>15</v>
      </c>
    </row>
    <row r="571" spans="1:14" x14ac:dyDescent="0.2">
      <c r="A571">
        <v>26452</v>
      </c>
      <c r="B571" t="s">
        <v>37</v>
      </c>
      <c r="C571" t="s">
        <v>38</v>
      </c>
      <c r="D571" s="3">
        <v>50000</v>
      </c>
      <c r="E571">
        <v>3</v>
      </c>
      <c r="F571" t="s">
        <v>31</v>
      </c>
      <c r="G571" t="s">
        <v>28</v>
      </c>
      <c r="H571" t="s">
        <v>15</v>
      </c>
      <c r="I571">
        <v>2</v>
      </c>
      <c r="J571" t="s">
        <v>47</v>
      </c>
      <c r="K571" t="s">
        <v>32</v>
      </c>
      <c r="L571">
        <v>69</v>
      </c>
      <c r="M571" t="str" cm="1">
        <f t="array" ref="M571">_xlfn.IFS(L571&lt;31, "Adolescent 0-30",L571&lt;=54,"Middle Age 31-54",L571&gt;=55,"Old 55+")</f>
        <v>Old 55+</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cm="1">
        <f t="array" ref="M572">_xlfn.IFS(L572&lt;31, "Adolescent 0-30",L572&lt;=54,"Middle Age 31-54",L572&gt;=55,"Old 55+")</f>
        <v>Middle Age 31-54</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cm="1">
        <f t="array" ref="M573">_xlfn.IFS(L573&lt;31, "Adolescent 0-30",L573&lt;=54,"Middle Age 31-54",L573&gt;=55,"Old 55+")</f>
        <v>Old 55+</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cm="1">
        <f t="array" ref="M574">_xlfn.IFS(L574&lt;31, "Adolescent 0-30",L574&lt;=54,"Middle Age 31-54",L574&gt;=55,"Old 55+")</f>
        <v>Adolescent 0-30</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cm="1">
        <f t="array" ref="M575">_xlfn.IFS(L575&lt;31, "Adolescent 0-30",L575&lt;=54,"Middle Age 31-54",L575&gt;=55,"Old 55+")</f>
        <v>Old 55+</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cm="1">
        <f t="array" ref="M576">_xlfn.IFS(L576&lt;31, "Adolescent 0-30",L576&lt;=54,"Middle Age 31-54",L576&gt;=55,"Old 55+")</f>
        <v>Middle Age 31-54</v>
      </c>
      <c r="N576" t="s">
        <v>15</v>
      </c>
    </row>
    <row r="577" spans="1:14" x14ac:dyDescent="0.2">
      <c r="A577">
        <v>13388</v>
      </c>
      <c r="B577" t="s">
        <v>37</v>
      </c>
      <c r="C577" t="s">
        <v>38</v>
      </c>
      <c r="D577" s="3">
        <v>60000</v>
      </c>
      <c r="E577">
        <v>2</v>
      </c>
      <c r="F577" t="s">
        <v>19</v>
      </c>
      <c r="G577" t="s">
        <v>21</v>
      </c>
      <c r="H577" t="s">
        <v>15</v>
      </c>
      <c r="I577">
        <v>1</v>
      </c>
      <c r="J577" t="s">
        <v>47</v>
      </c>
      <c r="K577" t="s">
        <v>32</v>
      </c>
      <c r="L577">
        <v>56</v>
      </c>
      <c r="M577" t="str" cm="1">
        <f t="array" ref="M577">_xlfn.IFS(L577&lt;31, "Adolescent 0-30",L577&lt;=54,"Middle Age 31-54",L577&gt;=55,"Old 55+")</f>
        <v>Old 55+</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cm="1">
        <f t="array" ref="M578">_xlfn.IFS(L578&lt;31, "Adolescent 0-30",L578&lt;=54,"Middle Age 31-54",L578&gt;=55,"Old 55+")</f>
        <v>Middle Age 31-54</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cm="1">
        <f t="array" ref="M579">_xlfn.IFS(L579&lt;31, "Adolescent 0-30",L579&lt;=54,"Middle Age 31-54",L579&gt;=55,"Old 55+")</f>
        <v>Middle Age 31-54</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cm="1">
        <f t="array" ref="M580">_xlfn.IFS(L580&lt;31, "Adolescent 0-30",L580&lt;=54,"Middle Age 31-54",L580&gt;=55,"Old 55+")</f>
        <v>Old 55+</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cm="1">
        <f t="array" ref="M581">_xlfn.IFS(L581&lt;31, "Adolescent 0-30",L581&lt;=54,"Middle Age 31-54",L581&gt;=55,"Old 55+")</f>
        <v>Middle Age 31-54</v>
      </c>
      <c r="N581" t="s">
        <v>18</v>
      </c>
    </row>
    <row r="582" spans="1:14" x14ac:dyDescent="0.2">
      <c r="A582">
        <v>20380</v>
      </c>
      <c r="B582" t="s">
        <v>36</v>
      </c>
      <c r="C582" t="s">
        <v>39</v>
      </c>
      <c r="D582" s="3">
        <v>60000</v>
      </c>
      <c r="E582">
        <v>3</v>
      </c>
      <c r="F582" t="s">
        <v>31</v>
      </c>
      <c r="G582" t="s">
        <v>28</v>
      </c>
      <c r="H582" t="s">
        <v>15</v>
      </c>
      <c r="I582">
        <v>2</v>
      </c>
      <c r="J582" t="s">
        <v>47</v>
      </c>
      <c r="K582" t="s">
        <v>32</v>
      </c>
      <c r="L582">
        <v>69</v>
      </c>
      <c r="M582" t="str" cm="1">
        <f t="array" ref="M582">_xlfn.IFS(L582&lt;31, "Adolescent 0-30",L582&lt;=54,"Middle Age 31-54",L582&gt;=55,"Old 55+")</f>
        <v>Old 55+</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cm="1">
        <f t="array" ref="M583">_xlfn.IFS(L583&lt;31, "Adolescent 0-30",L583&lt;=54,"Middle Age 31-54",L583&gt;=55,"Old 55+")</f>
        <v>Adolescent 0-30</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cm="1">
        <f t="array" ref="M584">_xlfn.IFS(L584&lt;31, "Adolescent 0-30",L584&lt;=54,"Middle Age 31-54",L584&gt;=55,"Old 55+")</f>
        <v>Middle Age 31-54</v>
      </c>
      <c r="N584" t="s">
        <v>18</v>
      </c>
    </row>
    <row r="585" spans="1:14" x14ac:dyDescent="0.2">
      <c r="A585">
        <v>24943</v>
      </c>
      <c r="B585" t="s">
        <v>36</v>
      </c>
      <c r="C585" t="s">
        <v>38</v>
      </c>
      <c r="D585" s="3">
        <v>60000</v>
      </c>
      <c r="E585">
        <v>3</v>
      </c>
      <c r="F585" t="s">
        <v>13</v>
      </c>
      <c r="G585" t="s">
        <v>28</v>
      </c>
      <c r="H585" t="s">
        <v>15</v>
      </c>
      <c r="I585">
        <v>2</v>
      </c>
      <c r="J585" t="s">
        <v>47</v>
      </c>
      <c r="K585" t="s">
        <v>32</v>
      </c>
      <c r="L585">
        <v>66</v>
      </c>
      <c r="M585" t="str" cm="1">
        <f t="array" ref="M585">_xlfn.IFS(L585&lt;31, "Adolescent 0-30",L585&lt;=54,"Middle Age 31-54",L585&gt;=55,"Old 55+")</f>
        <v>Old 55+</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cm="1">
        <f t="array" ref="M586">_xlfn.IFS(L586&lt;31, "Adolescent 0-30",L586&lt;=54,"Middle Age 31-54",L586&gt;=55,"Old 55+")</f>
        <v>Middle Age 31-54</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cm="1">
        <f t="array" ref="M587">_xlfn.IFS(L587&lt;31, "Adolescent 0-30",L587&lt;=54,"Middle Age 31-54",L587&gt;=55,"Old 55+")</f>
        <v>Middle Age 31-54</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cm="1">
        <f t="array" ref="M588">_xlfn.IFS(L588&lt;31, "Adolescent 0-30",L588&lt;=54,"Middle Age 31-54",L588&gt;=55,"Old 55+")</f>
        <v>Middle Age 31-54</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cm="1">
        <f t="array" ref="M589">_xlfn.IFS(L589&lt;31, "Adolescent 0-30",L589&lt;=54,"Middle Age 31-54",L589&gt;=55,"Old 55+")</f>
        <v>Middle Age 31-54</v>
      </c>
      <c r="N589" t="s">
        <v>18</v>
      </c>
    </row>
    <row r="590" spans="1:14" x14ac:dyDescent="0.2">
      <c r="A590">
        <v>16871</v>
      </c>
      <c r="B590" t="s">
        <v>36</v>
      </c>
      <c r="C590" t="s">
        <v>39</v>
      </c>
      <c r="D590" s="3">
        <v>90000</v>
      </c>
      <c r="E590">
        <v>2</v>
      </c>
      <c r="F590" t="s">
        <v>27</v>
      </c>
      <c r="G590" t="s">
        <v>21</v>
      </c>
      <c r="H590" t="s">
        <v>15</v>
      </c>
      <c r="I590">
        <v>1</v>
      </c>
      <c r="J590" t="s">
        <v>47</v>
      </c>
      <c r="K590" t="s">
        <v>32</v>
      </c>
      <c r="L590">
        <v>51</v>
      </c>
      <c r="M590" t="str" cm="1">
        <f t="array" ref="M590">_xlfn.IFS(L590&lt;31, "Adolescent 0-30",L590&lt;=54,"Middle Age 31-54",L590&gt;=55,"Old 55+")</f>
        <v>Middle Age 31-54</v>
      </c>
      <c r="N590" t="s">
        <v>15</v>
      </c>
    </row>
    <row r="591" spans="1:14" x14ac:dyDescent="0.2">
      <c r="A591">
        <v>12100</v>
      </c>
      <c r="B591" t="s">
        <v>37</v>
      </c>
      <c r="C591" t="s">
        <v>38</v>
      </c>
      <c r="D591" s="3">
        <v>60000</v>
      </c>
      <c r="E591">
        <v>2</v>
      </c>
      <c r="F591" t="s">
        <v>13</v>
      </c>
      <c r="G591" t="s">
        <v>28</v>
      </c>
      <c r="H591" t="s">
        <v>15</v>
      </c>
      <c r="I591">
        <v>0</v>
      </c>
      <c r="J591" t="s">
        <v>47</v>
      </c>
      <c r="K591" t="s">
        <v>32</v>
      </c>
      <c r="L591">
        <v>57</v>
      </c>
      <c r="M591" t="str" cm="1">
        <f t="array" ref="M591">_xlfn.IFS(L591&lt;31, "Adolescent 0-30",L591&lt;=54,"Middle Age 31-54",L591&gt;=55,"Old 55+")</f>
        <v>Old 55+</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cm="1">
        <f t="array" ref="M592">_xlfn.IFS(L592&lt;31, "Adolescent 0-30",L592&lt;=54,"Middle Age 31-54",L592&gt;=55,"Old 55+")</f>
        <v>Middle Age 31-54</v>
      </c>
      <c r="N592" t="s">
        <v>15</v>
      </c>
    </row>
    <row r="593" spans="1:14" x14ac:dyDescent="0.2">
      <c r="A593">
        <v>18545</v>
      </c>
      <c r="B593" t="s">
        <v>36</v>
      </c>
      <c r="C593" t="s">
        <v>38</v>
      </c>
      <c r="D593" s="3">
        <v>40000</v>
      </c>
      <c r="E593">
        <v>4</v>
      </c>
      <c r="F593" t="s">
        <v>27</v>
      </c>
      <c r="G593" t="s">
        <v>21</v>
      </c>
      <c r="H593" t="s">
        <v>18</v>
      </c>
      <c r="I593">
        <v>2</v>
      </c>
      <c r="J593" t="s">
        <v>47</v>
      </c>
      <c r="K593" t="s">
        <v>32</v>
      </c>
      <c r="L593">
        <v>61</v>
      </c>
      <c r="M593" t="str" cm="1">
        <f t="array" ref="M593">_xlfn.IFS(L593&lt;31, "Adolescent 0-30",L593&lt;=54,"Middle Age 31-54",L593&gt;=55,"Old 55+")</f>
        <v>Old 55+</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cm="1">
        <f t="array" ref="M594">_xlfn.IFS(L594&lt;31, "Adolescent 0-30",L594&lt;=54,"Middle Age 31-54",L594&gt;=55,"Old 55+")</f>
        <v>Middle Age 31-54</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cm="1">
        <f t="array" ref="M595">_xlfn.IFS(L595&lt;31, "Adolescent 0-30",L595&lt;=54,"Middle Age 31-54",L595&gt;=55,"Old 55+")</f>
        <v>Middle Age 31-54</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cm="1">
        <f t="array" ref="M596">_xlfn.IFS(L596&lt;31, "Adolescent 0-30",L596&lt;=54,"Middle Age 31-54",L596&gt;=55,"Old 55+")</f>
        <v>Old 55+</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cm="1">
        <f t="array" ref="M597">_xlfn.IFS(L597&lt;31, "Adolescent 0-30",L597&lt;=54,"Middle Age 31-54",L597&gt;=55,"Old 55+")</f>
        <v>Old 55+</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cm="1">
        <f t="array" ref="M598">_xlfn.IFS(L598&lt;31, "Adolescent 0-30",L598&lt;=54,"Middle Age 31-54",L598&gt;=55,"Old 55+")</f>
        <v>Middle Age 31-54</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cm="1">
        <f t="array" ref="M599">_xlfn.IFS(L599&lt;31, "Adolescent 0-30",L599&lt;=54,"Middle Age 31-54",L599&gt;=55,"Old 55+")</f>
        <v>Old 55+</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cm="1">
        <f t="array" ref="M600">_xlfn.IFS(L600&lt;31, "Adolescent 0-30",L600&lt;=54,"Middle Age 31-54",L600&gt;=55,"Old 55+")</f>
        <v>Middle Age 31-54</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cm="1">
        <f t="array" ref="M601">_xlfn.IFS(L601&lt;31, "Adolescent 0-30",L601&lt;=54,"Middle Age 31-54",L601&gt;=55,"Old 55+")</f>
        <v>Old 55+</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cm="1">
        <f t="array" ref="M602">_xlfn.IFS(L602&lt;31, "Adolescent 0-30",L602&lt;=54,"Middle Age 31-54",L602&gt;=55,"Old 55+")</f>
        <v>Middle Age 31-54</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cm="1">
        <f t="array" ref="M603">_xlfn.IFS(L603&lt;31, "Adolescent 0-30",L603&lt;=54,"Middle Age 31-54",L603&gt;=55,"Old 55+")</f>
        <v>Middle Age 31-54</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cm="1">
        <f t="array" ref="M604">_xlfn.IFS(L604&lt;31, "Adolescent 0-30",L604&lt;=54,"Middle Age 31-54",L604&gt;=55,"Old 55+")</f>
        <v>Middle Age 31-54</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cm="1">
        <f t="array" ref="M605">_xlfn.IFS(L605&lt;31, "Adolescent 0-30",L605&lt;=54,"Middle Age 31-54",L605&gt;=55,"Old 55+")</f>
        <v>Middle Age 31-54</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cm="1">
        <f t="array" ref="M606">_xlfn.IFS(L606&lt;31, "Adolescent 0-30",L606&lt;=54,"Middle Age 31-54",L606&gt;=55,"Old 55+")</f>
        <v>Adolescent 0-30</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cm="1">
        <f t="array" ref="M607">_xlfn.IFS(L607&lt;31, "Adolescent 0-30",L607&lt;=54,"Middle Age 31-54",L607&gt;=55,"Old 55+")</f>
        <v>Middle Age 31-54</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cm="1">
        <f t="array" ref="M608">_xlfn.IFS(L608&lt;31, "Adolescent 0-30",L608&lt;=54,"Middle Age 31-54",L608&gt;=55,"Old 55+")</f>
        <v>Middle Age 31-54</v>
      </c>
      <c r="N608" t="s">
        <v>18</v>
      </c>
    </row>
    <row r="609" spans="1:14" x14ac:dyDescent="0.2">
      <c r="A609">
        <v>16145</v>
      </c>
      <c r="B609" t="s">
        <v>37</v>
      </c>
      <c r="C609" t="s">
        <v>39</v>
      </c>
      <c r="D609" s="3">
        <v>70000</v>
      </c>
      <c r="E609">
        <v>5</v>
      </c>
      <c r="F609" t="s">
        <v>31</v>
      </c>
      <c r="G609" t="s">
        <v>21</v>
      </c>
      <c r="H609" t="s">
        <v>15</v>
      </c>
      <c r="I609">
        <v>3</v>
      </c>
      <c r="J609" t="s">
        <v>47</v>
      </c>
      <c r="K609" t="s">
        <v>32</v>
      </c>
      <c r="L609">
        <v>46</v>
      </c>
      <c r="M609" t="str" cm="1">
        <f t="array" ref="M609">_xlfn.IFS(L609&lt;31, "Adolescent 0-30",L609&lt;=54,"Middle Age 31-54",L609&gt;=55,"Old 55+")</f>
        <v>Middle Age 31-54</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cm="1">
        <f t="array" ref="M610">_xlfn.IFS(L610&lt;31, "Adolescent 0-30",L610&lt;=54,"Middle Age 31-54",L610&gt;=55,"Old 55+")</f>
        <v>Middle Age 31-54</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cm="1">
        <f t="array" ref="M611">_xlfn.IFS(L611&lt;31, "Adolescent 0-30",L611&lt;=54,"Middle Age 31-54",L611&gt;=55,"Old 55+")</f>
        <v>Middle Age 31-54</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cm="1">
        <f t="array" ref="M612">_xlfn.IFS(L612&lt;31, "Adolescent 0-30",L612&lt;=54,"Middle Age 31-54",L612&gt;=55,"Old 55+")</f>
        <v>Middle Age 31-54</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cm="1">
        <f t="array" ref="M613">_xlfn.IFS(L613&lt;31, "Adolescent 0-30",L613&lt;=54,"Middle Age 31-54",L613&gt;=55,"Old 55+")</f>
        <v>Middle Age 31-54</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cm="1">
        <f t="array" ref="M614">_xlfn.IFS(L614&lt;31, "Adolescent 0-30",L614&lt;=54,"Middle Age 31-54",L614&gt;=55,"Old 55+")</f>
        <v>Adolescent 0-30</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cm="1">
        <f t="array" ref="M615">_xlfn.IFS(L615&lt;31, "Adolescent 0-30",L615&lt;=54,"Middle Age 31-54",L615&gt;=55,"Old 55+")</f>
        <v>Middle Age 31-54</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cm="1">
        <f t="array" ref="M616">_xlfn.IFS(L616&lt;31, "Adolescent 0-30",L616&lt;=54,"Middle Age 31-54",L616&gt;=55,"Old 55+")</f>
        <v>Middle Age 31-54</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cm="1">
        <f t="array" ref="M617">_xlfn.IFS(L617&lt;31, "Adolescent 0-30",L617&lt;=54,"Middle Age 31-54",L617&gt;=55,"Old 55+")</f>
        <v>Middle Age 31-54</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cm="1">
        <f t="array" ref="M618">_xlfn.IFS(L618&lt;31, "Adolescent 0-30",L618&lt;=54,"Middle Age 31-54",L618&gt;=55,"Old 55+")</f>
        <v>Middle Age 31-54</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cm="1">
        <f t="array" ref="M619">_xlfn.IFS(L619&lt;31, "Adolescent 0-30",L619&lt;=54,"Middle Age 31-54",L619&gt;=55,"Old 55+")</f>
        <v>Middle Age 31-54</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cm="1">
        <f t="array" ref="M620">_xlfn.IFS(L620&lt;31, "Adolescent 0-30",L620&lt;=54,"Middle Age 31-54",L620&gt;=55,"Old 55+")</f>
        <v>Middle Age 31-54</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cm="1">
        <f t="array" ref="M621">_xlfn.IFS(L621&lt;31, "Adolescent 0-30",L621&lt;=54,"Middle Age 31-54",L621&gt;=55,"Old 55+")</f>
        <v>Adolescent 0-30</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cm="1">
        <f t="array" ref="M622">_xlfn.IFS(L622&lt;31, "Adolescent 0-30",L622&lt;=54,"Middle Age 31-54",L622&gt;=55,"Old 55+")</f>
        <v>Middle Age 31-54</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cm="1">
        <f t="array" ref="M623">_xlfn.IFS(L623&lt;31, "Adolescent 0-30",L623&lt;=54,"Middle Age 31-54",L623&gt;=55,"Old 55+")</f>
        <v>Old 55+</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cm="1">
        <f t="array" ref="M624">_xlfn.IFS(L624&lt;31, "Adolescent 0-30",L624&lt;=54,"Middle Age 31-54",L624&gt;=55,"Old 55+")</f>
        <v>Middle Age 31-54</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cm="1">
        <f t="array" ref="M625">_xlfn.IFS(L625&lt;31, "Adolescent 0-30",L625&lt;=54,"Middle Age 31-54",L625&gt;=55,"Old 55+")</f>
        <v>Old 55+</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cm="1">
        <f t="array" ref="M626">_xlfn.IFS(L626&lt;31, "Adolescent 0-30",L626&lt;=54,"Middle Age 31-54",L626&gt;=55,"Old 55+")</f>
        <v>Adolescent 0-30</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cm="1">
        <f t="array" ref="M627">_xlfn.IFS(L627&lt;31, "Adolescent 0-30",L627&lt;=54,"Middle Age 31-54",L627&gt;=55,"Old 55+")</f>
        <v>Old 55+</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cm="1">
        <f t="array" ref="M628">_xlfn.IFS(L628&lt;31, "Adolescent 0-30",L628&lt;=54,"Middle Age 31-54",L628&gt;=55,"Old 55+")</f>
        <v>Adolescent 0-30</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cm="1">
        <f t="array" ref="M629">_xlfn.IFS(L629&lt;31, "Adolescent 0-30",L629&lt;=54,"Middle Age 31-54",L629&gt;=55,"Old 55+")</f>
        <v>Old 55+</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cm="1">
        <f t="array" ref="M630">_xlfn.IFS(L630&lt;31, "Adolescent 0-30",L630&lt;=54,"Middle Age 31-54",L630&gt;=55,"Old 55+")</f>
        <v>Middle Age 31-54</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cm="1">
        <f t="array" ref="M631">_xlfn.IFS(L631&lt;31, "Adolescent 0-30",L631&lt;=54,"Middle Age 31-54",L631&gt;=55,"Old 55+")</f>
        <v>Middle Age 31-54</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cm="1">
        <f t="array" ref="M632">_xlfn.IFS(L632&lt;31, "Adolescent 0-30",L632&lt;=54,"Middle Age 31-54",L632&gt;=55,"Old 55+")</f>
        <v>Adolescent 0-30</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cm="1">
        <f t="array" ref="M633">_xlfn.IFS(L633&lt;31, "Adolescent 0-30",L633&lt;=54,"Middle Age 31-54",L633&gt;=55,"Old 55+")</f>
        <v>Middle Age 31-54</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cm="1">
        <f t="array" ref="M634">_xlfn.IFS(L634&lt;31, "Adolescent 0-30",L634&lt;=54,"Middle Age 31-54",L634&gt;=55,"Old 55+")</f>
        <v>Middle Age 31-54</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cm="1">
        <f t="array" ref="M635">_xlfn.IFS(L635&lt;31, "Adolescent 0-30",L635&lt;=54,"Middle Age 31-54",L635&gt;=55,"Old 55+")</f>
        <v>Middle Age 31-54</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cm="1">
        <f t="array" ref="M636">_xlfn.IFS(L636&lt;31, "Adolescent 0-30",L636&lt;=54,"Middle Age 31-54",L636&gt;=55,"Old 55+")</f>
        <v>Old 55+</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cm="1">
        <f t="array" ref="M637">_xlfn.IFS(L637&lt;31, "Adolescent 0-30",L637&lt;=54,"Middle Age 31-54",L637&gt;=55,"Old 55+")</f>
        <v>Middle Age 31-54</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cm="1">
        <f t="array" ref="M638">_xlfn.IFS(L638&lt;31, "Adolescent 0-30",L638&lt;=54,"Middle Age 31-54",L638&gt;=55,"Old 55+")</f>
        <v>Middle Age 31-54</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cm="1">
        <f t="array" ref="M639">_xlfn.IFS(L639&lt;31, "Adolescent 0-30",L639&lt;=54,"Middle Age 31-54",L639&gt;=55,"Old 55+")</f>
        <v>Adolescent 0-30</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cm="1">
        <f t="array" ref="M640">_xlfn.IFS(L640&lt;31, "Adolescent 0-30",L640&lt;=54,"Middle Age 31-54",L640&gt;=55,"Old 55+")</f>
        <v>Old 55+</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cm="1">
        <f t="array" ref="M641">_xlfn.IFS(L641&lt;31, "Adolescent 0-30",L641&lt;=54,"Middle Age 31-54",L641&gt;=55,"Old 55+")</f>
        <v>Old 55+</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cm="1">
        <f t="array" ref="M642">_xlfn.IFS(L642&lt;31, "Adolescent 0-30",L642&lt;=54,"Middle Age 31-54",L642&gt;=55,"Old 55+")</f>
        <v>Old 55+</v>
      </c>
      <c r="N642" t="s">
        <v>15</v>
      </c>
    </row>
    <row r="643" spans="1:14" x14ac:dyDescent="0.2">
      <c r="A643">
        <v>21441</v>
      </c>
      <c r="B643" t="s">
        <v>36</v>
      </c>
      <c r="C643" t="s">
        <v>38</v>
      </c>
      <c r="D643" s="3">
        <v>50000</v>
      </c>
      <c r="E643">
        <v>4</v>
      </c>
      <c r="F643" t="s">
        <v>13</v>
      </c>
      <c r="G643" t="s">
        <v>28</v>
      </c>
      <c r="H643" t="s">
        <v>15</v>
      </c>
      <c r="I643">
        <v>2</v>
      </c>
      <c r="J643" t="s">
        <v>47</v>
      </c>
      <c r="K643" t="s">
        <v>32</v>
      </c>
      <c r="L643">
        <v>64</v>
      </c>
      <c r="M643" t="str" cm="1">
        <f t="array" ref="M643">_xlfn.IFS(L643&lt;31, "Adolescent 0-30",L643&lt;=54,"Middle Age 31-54",L643&gt;=55,"Old 55+")</f>
        <v>Old 55+</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cm="1">
        <f t="array" ref="M644">_xlfn.IFS(L644&lt;31, "Adolescent 0-30",L644&lt;=54,"Middle Age 31-54",L644&gt;=55,"Old 55+")</f>
        <v>Middle Age 31-54</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cm="1">
        <f t="array" ref="M645">_xlfn.IFS(L645&lt;31, "Adolescent 0-30",L645&lt;=54,"Middle Age 31-54",L645&gt;=55,"Old 55+")</f>
        <v>Middle Age 31-54</v>
      </c>
      <c r="N645" t="s">
        <v>15</v>
      </c>
    </row>
    <row r="646" spans="1:14" x14ac:dyDescent="0.2">
      <c r="A646">
        <v>23368</v>
      </c>
      <c r="B646" t="s">
        <v>36</v>
      </c>
      <c r="C646" t="s">
        <v>39</v>
      </c>
      <c r="D646" s="3">
        <v>60000</v>
      </c>
      <c r="E646">
        <v>5</v>
      </c>
      <c r="F646" t="s">
        <v>13</v>
      </c>
      <c r="G646" t="s">
        <v>14</v>
      </c>
      <c r="H646" t="s">
        <v>15</v>
      </c>
      <c r="I646">
        <v>3</v>
      </c>
      <c r="J646" t="s">
        <v>47</v>
      </c>
      <c r="K646" t="s">
        <v>32</v>
      </c>
      <c r="L646">
        <v>41</v>
      </c>
      <c r="M646" t="str" cm="1">
        <f t="array" ref="M646">_xlfn.IFS(L646&lt;31, "Adolescent 0-30",L646&lt;=54,"Middle Age 31-54",L646&gt;=55,"Old 55+")</f>
        <v>Middle Age 31-54</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cm="1">
        <f t="array" ref="M647">_xlfn.IFS(L647&lt;31, "Adolescent 0-30",L647&lt;=54,"Middle Age 31-54",L647&gt;=55,"Old 55+")</f>
        <v>Middle Age 31-54</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cm="1">
        <f t="array" ref="M648">_xlfn.IFS(L648&lt;31, "Adolescent 0-30",L648&lt;=54,"Middle Age 31-54",L648&gt;=55,"Old 55+")</f>
        <v>Middle Age 31-54</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cm="1">
        <f t="array" ref="M649">_xlfn.IFS(L649&lt;31, "Adolescent 0-30",L649&lt;=54,"Middle Age 31-54",L649&gt;=55,"Old 55+")</f>
        <v>Middle Age 31-54</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cm="1">
        <f t="array" ref="M650">_xlfn.IFS(L650&lt;31, "Adolescent 0-30",L650&lt;=54,"Middle Age 31-54",L650&gt;=55,"Old 55+")</f>
        <v>Old 55+</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cm="1">
        <f t="array" ref="M651">_xlfn.IFS(L651&lt;31, "Adolescent 0-30",L651&lt;=54,"Middle Age 31-54",L651&gt;=55,"Old 55+")</f>
        <v>Middle Age 31-54</v>
      </c>
      <c r="N651" t="s">
        <v>15</v>
      </c>
    </row>
    <row r="652" spans="1:14" x14ac:dyDescent="0.2">
      <c r="A652">
        <v>18435</v>
      </c>
      <c r="B652" t="s">
        <v>37</v>
      </c>
      <c r="C652" t="s">
        <v>39</v>
      </c>
      <c r="D652" s="3">
        <v>70000</v>
      </c>
      <c r="E652">
        <v>5</v>
      </c>
      <c r="F652" t="s">
        <v>31</v>
      </c>
      <c r="G652" t="s">
        <v>28</v>
      </c>
      <c r="H652" t="s">
        <v>15</v>
      </c>
      <c r="I652">
        <v>2</v>
      </c>
      <c r="J652" t="s">
        <v>47</v>
      </c>
      <c r="K652" t="s">
        <v>32</v>
      </c>
      <c r="L652">
        <v>67</v>
      </c>
      <c r="M652" t="str" cm="1">
        <f t="array" ref="M652">_xlfn.IFS(L652&lt;31, "Adolescent 0-30",L652&lt;=54,"Middle Age 31-54",L652&gt;=55,"Old 55+")</f>
        <v>Old 55+</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cm="1">
        <f t="array" ref="M653">_xlfn.IFS(L653&lt;31, "Adolescent 0-30",L653&lt;=54,"Middle Age 31-54",L653&gt;=55,"Old 55+")</f>
        <v>Middle Age 31-54</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cm="1">
        <f t="array" ref="M654">_xlfn.IFS(L654&lt;31, "Adolescent 0-30",L654&lt;=54,"Middle Age 31-54",L654&gt;=55,"Old 55+")</f>
        <v>Middle Age 31-54</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cm="1">
        <f t="array" ref="M655">_xlfn.IFS(L655&lt;31, "Adolescent 0-30",L655&lt;=54,"Middle Age 31-54",L655&gt;=55,"Old 55+")</f>
        <v>Middle Age 31-54</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cm="1">
        <f t="array" ref="M656">_xlfn.IFS(L656&lt;31, "Adolescent 0-30",L656&lt;=54,"Middle Age 31-54",L656&gt;=55,"Old 55+")</f>
        <v>Middle Age 31-54</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cm="1">
        <f t="array" ref="M657">_xlfn.IFS(L657&lt;31, "Adolescent 0-30",L657&lt;=54,"Middle Age 31-54",L657&gt;=55,"Old 55+")</f>
        <v>Middle Age 31-54</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cm="1">
        <f t="array" ref="M658">_xlfn.IFS(L658&lt;31, "Adolescent 0-30",L658&lt;=54,"Middle Age 31-54",L658&gt;=55,"Old 55+")</f>
        <v>Middle Age 31-54</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cm="1">
        <f t="array" ref="M659">_xlfn.IFS(L659&lt;31, "Adolescent 0-30",L659&lt;=54,"Middle Age 31-54",L659&gt;=55,"Old 55+")</f>
        <v>Middle Age 31-54</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cm="1">
        <f t="array" ref="M660">_xlfn.IFS(L660&lt;31, "Adolescent 0-30",L660&lt;=54,"Middle Age 31-54",L660&gt;=55,"Old 55+")</f>
        <v>Middle Age 31-54</v>
      </c>
      <c r="N660" t="s">
        <v>15</v>
      </c>
    </row>
    <row r="661" spans="1:14" x14ac:dyDescent="0.2">
      <c r="A661">
        <v>24643</v>
      </c>
      <c r="B661" t="s">
        <v>37</v>
      </c>
      <c r="C661" t="s">
        <v>39</v>
      </c>
      <c r="D661" s="3">
        <v>60000</v>
      </c>
      <c r="E661">
        <v>4</v>
      </c>
      <c r="F661" t="s">
        <v>13</v>
      </c>
      <c r="G661" t="s">
        <v>28</v>
      </c>
      <c r="H661" t="s">
        <v>15</v>
      </c>
      <c r="I661">
        <v>2</v>
      </c>
      <c r="J661" t="s">
        <v>47</v>
      </c>
      <c r="K661" t="s">
        <v>32</v>
      </c>
      <c r="L661">
        <v>63</v>
      </c>
      <c r="M661" t="str" cm="1">
        <f t="array" ref="M661">_xlfn.IFS(L661&lt;31, "Adolescent 0-30",L661&lt;=54,"Middle Age 31-54",L661&gt;=55,"Old 55+")</f>
        <v>Old 55+</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cm="1">
        <f t="array" ref="M662">_xlfn.IFS(L662&lt;31, "Adolescent 0-30",L662&lt;=54,"Middle Age 31-54",L662&gt;=55,"Old 55+")</f>
        <v>Middle Age 31-54</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cm="1">
        <f t="array" ref="M663">_xlfn.IFS(L663&lt;31, "Adolescent 0-30",L663&lt;=54,"Middle Age 31-54",L663&gt;=55,"Old 55+")</f>
        <v>Adolescent 0-30</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cm="1">
        <f t="array" ref="M664">_xlfn.IFS(L664&lt;31, "Adolescent 0-30",L664&lt;=54,"Middle Age 31-54",L664&gt;=55,"Old 55+")</f>
        <v>Middle Age 31-54</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cm="1">
        <f t="array" ref="M665">_xlfn.IFS(L665&lt;31, "Adolescent 0-30",L665&lt;=54,"Middle Age 31-54",L665&gt;=55,"Old 55+")</f>
        <v>Middle Age 31-54</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cm="1">
        <f t="array" ref="M666">_xlfn.IFS(L666&lt;31, "Adolescent 0-30",L666&lt;=54,"Middle Age 31-54",L666&gt;=55,"Old 55+")</f>
        <v>Middle Age 31-54</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cm="1">
        <f t="array" ref="M667">_xlfn.IFS(L667&lt;31, "Adolescent 0-30",L667&lt;=54,"Middle Age 31-54",L667&gt;=55,"Old 55+")</f>
        <v>Middle Age 31-54</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cm="1">
        <f t="array" ref="M668">_xlfn.IFS(L668&lt;31, "Adolescent 0-30",L668&lt;=54,"Middle Age 31-54",L668&gt;=55,"Old 55+")</f>
        <v>Middle Age 31-54</v>
      </c>
      <c r="N668" t="s">
        <v>15</v>
      </c>
    </row>
    <row r="669" spans="1:14" x14ac:dyDescent="0.2">
      <c r="A669">
        <v>20505</v>
      </c>
      <c r="B669" t="s">
        <v>36</v>
      </c>
      <c r="C669" t="s">
        <v>39</v>
      </c>
      <c r="D669" s="3">
        <v>40000</v>
      </c>
      <c r="E669">
        <v>5</v>
      </c>
      <c r="F669" t="s">
        <v>27</v>
      </c>
      <c r="G669" t="s">
        <v>21</v>
      </c>
      <c r="H669" t="s">
        <v>18</v>
      </c>
      <c r="I669">
        <v>2</v>
      </c>
      <c r="J669" t="s">
        <v>47</v>
      </c>
      <c r="K669" t="s">
        <v>32</v>
      </c>
      <c r="L669">
        <v>61</v>
      </c>
      <c r="M669" t="str" cm="1">
        <f t="array" ref="M669">_xlfn.IFS(L669&lt;31, "Adolescent 0-30",L669&lt;=54,"Middle Age 31-54",L669&gt;=55,"Old 55+")</f>
        <v>Old 55+</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cm="1">
        <f t="array" ref="M670">_xlfn.IFS(L670&lt;31, "Adolescent 0-30",L670&lt;=54,"Middle Age 31-54",L670&gt;=55,"Old 55+")</f>
        <v>Middle Age 31-54</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cm="1">
        <f t="array" ref="M671">_xlfn.IFS(L671&lt;31, "Adolescent 0-30",L671&lt;=54,"Middle Age 31-54",L671&gt;=55,"Old 55+")</f>
        <v>Middle Age 31-54</v>
      </c>
      <c r="N671" t="s">
        <v>18</v>
      </c>
    </row>
    <row r="672" spans="1:14" x14ac:dyDescent="0.2">
      <c r="A672">
        <v>21471</v>
      </c>
      <c r="B672" t="s">
        <v>36</v>
      </c>
      <c r="C672" t="s">
        <v>38</v>
      </c>
      <c r="D672" s="3">
        <v>70000</v>
      </c>
      <c r="E672">
        <v>2</v>
      </c>
      <c r="F672" t="s">
        <v>19</v>
      </c>
      <c r="G672" t="s">
        <v>21</v>
      </c>
      <c r="H672" t="s">
        <v>15</v>
      </c>
      <c r="I672">
        <v>1</v>
      </c>
      <c r="J672" t="s">
        <v>47</v>
      </c>
      <c r="K672" t="s">
        <v>32</v>
      </c>
      <c r="L672">
        <v>59</v>
      </c>
      <c r="M672" t="str" cm="1">
        <f t="array" ref="M672">_xlfn.IFS(L672&lt;31, "Adolescent 0-30",L672&lt;=54,"Middle Age 31-54",L672&gt;=55,"Old 55+")</f>
        <v>Old 55+</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cm="1">
        <f t="array" ref="M673">_xlfn.IFS(L673&lt;31, "Adolescent 0-30",L673&lt;=54,"Middle Age 31-54",L673&gt;=55,"Old 55+")</f>
        <v>Middle Age 31-54</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cm="1">
        <f t="array" ref="M674">_xlfn.IFS(L674&lt;31, "Adolescent 0-30",L674&lt;=54,"Middle Age 31-54",L674&gt;=55,"Old 55+")</f>
        <v>Adolescent 0-30</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cm="1">
        <f t="array" ref="M675">_xlfn.IFS(L675&lt;31, "Adolescent 0-30",L675&lt;=54,"Middle Age 31-54",L675&gt;=55,"Old 55+")</f>
        <v>Middle Age 31-54</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cm="1">
        <f t="array" ref="M676">_xlfn.IFS(L676&lt;31, "Adolescent 0-30",L676&lt;=54,"Middle Age 31-54",L676&gt;=55,"Old 55+")</f>
        <v>Middle Age 31-54</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cm="1">
        <f t="array" ref="M677">_xlfn.IFS(L677&lt;31, "Adolescent 0-30",L677&lt;=54,"Middle Age 31-54",L677&gt;=55,"Old 55+")</f>
        <v>Middle Age 31-54</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cm="1">
        <f t="array" ref="M678">_xlfn.IFS(L678&lt;31, "Adolescent 0-30",L678&lt;=54,"Middle Age 31-54",L678&gt;=55,"Old 55+")</f>
        <v>Middle Age 31-54</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cm="1">
        <f t="array" ref="M679">_xlfn.IFS(L679&lt;31, "Adolescent 0-30",L679&lt;=54,"Middle Age 31-54",L679&gt;=55,"Old 55+")</f>
        <v>Middle Age 31-54</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cm="1">
        <f t="array" ref="M680">_xlfn.IFS(L680&lt;31, "Adolescent 0-30",L680&lt;=54,"Middle Age 31-54",L680&gt;=55,"Old 55+")</f>
        <v>Old 55+</v>
      </c>
      <c r="N680" t="s">
        <v>18</v>
      </c>
    </row>
    <row r="681" spans="1:14" x14ac:dyDescent="0.2">
      <c r="A681">
        <v>21770</v>
      </c>
      <c r="B681" t="s">
        <v>36</v>
      </c>
      <c r="C681" t="s">
        <v>38</v>
      </c>
      <c r="D681" s="3">
        <v>60000</v>
      </c>
      <c r="E681">
        <v>4</v>
      </c>
      <c r="F681" t="s">
        <v>13</v>
      </c>
      <c r="G681" t="s">
        <v>28</v>
      </c>
      <c r="H681" t="s">
        <v>15</v>
      </c>
      <c r="I681">
        <v>2</v>
      </c>
      <c r="J681" t="s">
        <v>47</v>
      </c>
      <c r="K681" t="s">
        <v>32</v>
      </c>
      <c r="L681">
        <v>60</v>
      </c>
      <c r="M681" t="str" cm="1">
        <f t="array" ref="M681">_xlfn.IFS(L681&lt;31, "Adolescent 0-30",L681&lt;=54,"Middle Age 31-54",L681&gt;=55,"Old 55+")</f>
        <v>Old 55+</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cm="1">
        <f t="array" ref="M682">_xlfn.IFS(L682&lt;31, "Adolescent 0-30",L682&lt;=54,"Middle Age 31-54",L682&gt;=55,"Old 55+")</f>
        <v>Middle Age 31-54</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cm="1">
        <f t="array" ref="M683">_xlfn.IFS(L683&lt;31, "Adolescent 0-30",L683&lt;=54,"Middle Age 31-54",L683&gt;=55,"Old 55+")</f>
        <v>Middle Age 31-54</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cm="1">
        <f t="array" ref="M684">_xlfn.IFS(L684&lt;31, "Adolescent 0-30",L684&lt;=54,"Middle Age 31-54",L684&gt;=55,"Old 55+")</f>
        <v>Middle Age 31-54</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cm="1">
        <f t="array" ref="M685">_xlfn.IFS(L685&lt;31, "Adolescent 0-30",L685&lt;=54,"Middle Age 31-54",L685&gt;=55,"Old 55+")</f>
        <v>Middle Age 31-54</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cm="1">
        <f t="array" ref="M686">_xlfn.IFS(L686&lt;31, "Adolescent 0-30",L686&lt;=54,"Middle Age 31-54",L686&gt;=55,"Old 55+")</f>
        <v>Middle Age 31-54</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cm="1">
        <f t="array" ref="M687">_xlfn.IFS(L687&lt;31, "Adolescent 0-30",L687&lt;=54,"Middle Age 31-54",L687&gt;=55,"Old 55+")</f>
        <v>Middle Age 31-54</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cm="1">
        <f t="array" ref="M688">_xlfn.IFS(L688&lt;31, "Adolescent 0-30",L688&lt;=54,"Middle Age 31-54",L688&gt;=55,"Old 55+")</f>
        <v>Middle Age 31-54</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cm="1">
        <f t="array" ref="M689">_xlfn.IFS(L689&lt;31, "Adolescent 0-30",L689&lt;=54,"Middle Age 31-54",L689&gt;=55,"Old 55+")</f>
        <v>Adolescent 0-30</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cm="1">
        <f t="array" ref="M690">_xlfn.IFS(L690&lt;31, "Adolescent 0-30",L690&lt;=54,"Middle Age 31-54",L690&gt;=55,"Old 55+")</f>
        <v>Adolescent 0-30</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cm="1">
        <f t="array" ref="M691">_xlfn.IFS(L691&lt;31, "Adolescent 0-30",L691&lt;=54,"Middle Age 31-54",L691&gt;=55,"Old 55+")</f>
        <v>Adolescent 0-30</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cm="1">
        <f t="array" ref="M692">_xlfn.IFS(L692&lt;31, "Adolescent 0-30",L692&lt;=54,"Middle Age 31-54",L692&gt;=55,"Old 55+")</f>
        <v>Middle Age 31-54</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cm="1">
        <f t="array" ref="M693">_xlfn.IFS(L693&lt;31, "Adolescent 0-30",L693&lt;=54,"Middle Age 31-54",L693&gt;=55,"Old 55+")</f>
        <v>Middle Age 31-54</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cm="1">
        <f t="array" ref="M694">_xlfn.IFS(L694&lt;31, "Adolescent 0-30",L694&lt;=54,"Middle Age 31-54",L694&gt;=55,"Old 55+")</f>
        <v>Middle Age 31-54</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cm="1">
        <f t="array" ref="M695">_xlfn.IFS(L695&lt;31, "Adolescent 0-30",L695&lt;=54,"Middle Age 31-54",L695&gt;=55,"Old 55+")</f>
        <v>Middle Age 31-54</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cm="1">
        <f t="array" ref="M696">_xlfn.IFS(L696&lt;31, "Adolescent 0-30",L696&lt;=54,"Middle Age 31-54",L696&gt;=55,"Old 55+")</f>
        <v>Middle Age 31-54</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cm="1">
        <f t="array" ref="M697">_xlfn.IFS(L697&lt;31, "Adolescent 0-30",L697&lt;=54,"Middle Age 31-54",L697&gt;=55,"Old 55+")</f>
        <v>Middle Age 31-54</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cm="1">
        <f t="array" ref="M698">_xlfn.IFS(L698&lt;31, "Adolescent 0-30",L698&lt;=54,"Middle Age 31-54",L698&gt;=55,"Old 55+")</f>
        <v>Adolescent 0-30</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cm="1">
        <f t="array" ref="M699">_xlfn.IFS(L699&lt;31, "Adolescent 0-30",L699&lt;=54,"Middle Age 31-54",L699&gt;=55,"Old 55+")</f>
        <v>Adolescent 0-30</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cm="1">
        <f t="array" ref="M700">_xlfn.IFS(L700&lt;31, "Adolescent 0-30",L700&lt;=54,"Middle Age 31-54",L700&gt;=55,"Old 55+")</f>
        <v>Middle Age 31-54</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cm="1">
        <f t="array" ref="M701">_xlfn.IFS(L701&lt;31, "Adolescent 0-30",L701&lt;=54,"Middle Age 31-54",L701&gt;=55,"Old 55+")</f>
        <v>Middle Age 31-54</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cm="1">
        <f t="array" ref="M702">_xlfn.IFS(L702&lt;31, "Adolescent 0-30",L702&lt;=54,"Middle Age 31-54",L702&gt;=55,"Old 55+")</f>
        <v>Old 55+</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cm="1">
        <f t="array" ref="M703">_xlfn.IFS(L703&lt;31, "Adolescent 0-30",L703&lt;=54,"Middle Age 31-54",L703&gt;=55,"Old 55+")</f>
        <v>Adolescent 0-30</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cm="1">
        <f t="array" ref="M704">_xlfn.IFS(L704&lt;31, "Adolescent 0-30",L704&lt;=54,"Middle Age 31-54",L704&gt;=55,"Old 55+")</f>
        <v>Middle Age 31-54</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cm="1">
        <f t="array" ref="M705">_xlfn.IFS(L705&lt;31, "Adolescent 0-30",L705&lt;=54,"Middle Age 31-54",L705&gt;=55,"Old 55+")</f>
        <v>Middle Age 31-54</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cm="1">
        <f t="array" ref="M706">_xlfn.IFS(L706&lt;31, "Adolescent 0-30",L706&lt;=54,"Middle Age 31-54",L706&gt;=55,"Old 55+")</f>
        <v>Middle Age 31-54</v>
      </c>
      <c r="N706" t="s">
        <v>15</v>
      </c>
    </row>
    <row r="707" spans="1:14" x14ac:dyDescent="0.2">
      <c r="A707">
        <v>11199</v>
      </c>
      <c r="B707" t="s">
        <v>36</v>
      </c>
      <c r="C707" t="s">
        <v>39</v>
      </c>
      <c r="D707" s="3">
        <v>70000</v>
      </c>
      <c r="E707">
        <v>4</v>
      </c>
      <c r="F707" t="s">
        <v>13</v>
      </c>
      <c r="G707" t="s">
        <v>28</v>
      </c>
      <c r="H707" t="s">
        <v>15</v>
      </c>
      <c r="I707">
        <v>1</v>
      </c>
      <c r="J707" t="s">
        <v>47</v>
      </c>
      <c r="K707" t="s">
        <v>32</v>
      </c>
      <c r="L707">
        <v>59</v>
      </c>
      <c r="M707" t="str" cm="1">
        <f t="array" ref="M707">_xlfn.IFS(L707&lt;31, "Adolescent 0-30",L707&lt;=54,"Middle Age 31-54",L707&gt;=55,"Old 55+")</f>
        <v>Old 55+</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cm="1">
        <f t="array" ref="M708">_xlfn.IFS(L708&lt;31, "Adolescent 0-30",L708&lt;=54,"Middle Age 31-54",L708&gt;=55,"Old 55+")</f>
        <v>Middle Age 31-54</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cm="1">
        <f t="array" ref="M709">_xlfn.IFS(L709&lt;31, "Adolescent 0-30",L709&lt;=54,"Middle Age 31-54",L709&gt;=55,"Old 55+")</f>
        <v>Middle Age 31-54</v>
      </c>
      <c r="N709" t="s">
        <v>15</v>
      </c>
    </row>
    <row r="710" spans="1:14" x14ac:dyDescent="0.2">
      <c r="A710">
        <v>18069</v>
      </c>
      <c r="B710" t="s">
        <v>36</v>
      </c>
      <c r="C710" t="s">
        <v>38</v>
      </c>
      <c r="D710" s="3">
        <v>70000</v>
      </c>
      <c r="E710">
        <v>5</v>
      </c>
      <c r="F710" t="s">
        <v>13</v>
      </c>
      <c r="G710" t="s">
        <v>28</v>
      </c>
      <c r="H710" t="s">
        <v>15</v>
      </c>
      <c r="I710">
        <v>4</v>
      </c>
      <c r="J710" t="s">
        <v>47</v>
      </c>
      <c r="K710" t="s">
        <v>32</v>
      </c>
      <c r="L710">
        <v>60</v>
      </c>
      <c r="M710" t="str" cm="1">
        <f t="array" ref="M710">_xlfn.IFS(L710&lt;31, "Adolescent 0-30",L710&lt;=54,"Middle Age 31-54",L710&gt;=55,"Old 55+")</f>
        <v>Old 55+</v>
      </c>
      <c r="N710" t="s">
        <v>18</v>
      </c>
    </row>
    <row r="711" spans="1:14" x14ac:dyDescent="0.2">
      <c r="A711">
        <v>23712</v>
      </c>
      <c r="B711" t="s">
        <v>37</v>
      </c>
      <c r="C711" t="s">
        <v>39</v>
      </c>
      <c r="D711" s="3">
        <v>70000</v>
      </c>
      <c r="E711">
        <v>2</v>
      </c>
      <c r="F711" t="s">
        <v>13</v>
      </c>
      <c r="G711" t="s">
        <v>28</v>
      </c>
      <c r="H711" t="s">
        <v>15</v>
      </c>
      <c r="I711">
        <v>1</v>
      </c>
      <c r="J711" t="s">
        <v>47</v>
      </c>
      <c r="K711" t="s">
        <v>32</v>
      </c>
      <c r="L711">
        <v>59</v>
      </c>
      <c r="M711" t="str" cm="1">
        <f t="array" ref="M711">_xlfn.IFS(L711&lt;31, "Adolescent 0-30",L711&lt;=54,"Middle Age 31-54",L711&gt;=55,"Old 55+")</f>
        <v>Old 55+</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cm="1">
        <f t="array" ref="M712">_xlfn.IFS(L712&lt;31, "Adolescent 0-30",L712&lt;=54,"Middle Age 31-54",L712&gt;=55,"Old 55+")</f>
        <v>Middle Age 31-54</v>
      </c>
      <c r="N712" t="s">
        <v>15</v>
      </c>
    </row>
    <row r="713" spans="1:14" x14ac:dyDescent="0.2">
      <c r="A713">
        <v>20518</v>
      </c>
      <c r="B713" t="s">
        <v>36</v>
      </c>
      <c r="C713" t="s">
        <v>39</v>
      </c>
      <c r="D713" s="3">
        <v>70000</v>
      </c>
      <c r="E713">
        <v>2</v>
      </c>
      <c r="F713" t="s">
        <v>19</v>
      </c>
      <c r="G713" t="s">
        <v>21</v>
      </c>
      <c r="H713" t="s">
        <v>15</v>
      </c>
      <c r="I713">
        <v>1</v>
      </c>
      <c r="J713" t="s">
        <v>47</v>
      </c>
      <c r="K713" t="s">
        <v>32</v>
      </c>
      <c r="L713">
        <v>58</v>
      </c>
      <c r="M713" t="str" cm="1">
        <f t="array" ref="M713">_xlfn.IFS(L713&lt;31, "Adolescent 0-30",L713&lt;=54,"Middle Age 31-54",L713&gt;=55,"Old 55+")</f>
        <v>Old 55+</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cm="1">
        <f t="array" ref="M714">_xlfn.IFS(L714&lt;31, "Adolescent 0-30",L714&lt;=54,"Middle Age 31-54",L714&gt;=55,"Old 55+")</f>
        <v>Old 55+</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cm="1">
        <f t="array" ref="M715">_xlfn.IFS(L715&lt;31, "Adolescent 0-30",L715&lt;=54,"Middle Age 31-54",L715&gt;=55,"Old 55+")</f>
        <v>Middle Age 31-54</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cm="1">
        <f t="array" ref="M716">_xlfn.IFS(L716&lt;31, "Adolescent 0-30",L716&lt;=54,"Middle Age 31-54",L716&gt;=55,"Old 55+")</f>
        <v>Adolescent 0-30</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cm="1">
        <f t="array" ref="M717">_xlfn.IFS(L717&lt;31, "Adolescent 0-30",L717&lt;=54,"Middle Age 31-54",L717&gt;=55,"Old 55+")</f>
        <v>Middle Age 31-54</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cm="1">
        <f t="array" ref="M718">_xlfn.IFS(L718&lt;31, "Adolescent 0-30",L718&lt;=54,"Middle Age 31-54",L718&gt;=55,"Old 55+")</f>
        <v>Middle Age 31-54</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cm="1">
        <f t="array" ref="M719">_xlfn.IFS(L719&lt;31, "Adolescent 0-30",L719&lt;=54,"Middle Age 31-54",L719&gt;=55,"Old 55+")</f>
        <v>Middle Age 31-54</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cm="1">
        <f t="array" ref="M720">_xlfn.IFS(L720&lt;31, "Adolescent 0-30",L720&lt;=54,"Middle Age 31-54",L720&gt;=55,"Old 55+")</f>
        <v>Middle Age 31-54</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cm="1">
        <f t="array" ref="M721">_xlfn.IFS(L721&lt;31, "Adolescent 0-30",L721&lt;=54,"Middle Age 31-54",L721&gt;=55,"Old 55+")</f>
        <v>Middle Age 31-54</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cm="1">
        <f t="array" ref="M722">_xlfn.IFS(L722&lt;31, "Adolescent 0-30",L722&lt;=54,"Middle Age 31-54",L722&gt;=55,"Old 55+")</f>
        <v>Old 55+</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cm="1">
        <f t="array" ref="M723">_xlfn.IFS(L723&lt;31, "Adolescent 0-30",L723&lt;=54,"Middle Age 31-54",L723&gt;=55,"Old 55+")</f>
        <v>Middle Age 31-54</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cm="1">
        <f t="array" ref="M724">_xlfn.IFS(L724&lt;31, "Adolescent 0-30",L724&lt;=54,"Middle Age 31-54",L724&gt;=55,"Old 55+")</f>
        <v>Middle Age 31-54</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cm="1">
        <f t="array" ref="M725">_xlfn.IFS(L725&lt;31, "Adolescent 0-30",L725&lt;=54,"Middle Age 31-54",L725&gt;=55,"Old 55+")</f>
        <v>Middle Age 31-54</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cm="1">
        <f t="array" ref="M726">_xlfn.IFS(L726&lt;31, "Adolescent 0-30",L726&lt;=54,"Middle Age 31-54",L726&gt;=55,"Old 55+")</f>
        <v>Middle Age 31-54</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cm="1">
        <f t="array" ref="M727">_xlfn.IFS(L727&lt;31, "Adolescent 0-30",L727&lt;=54,"Middle Age 31-54",L727&gt;=55,"Old 55+")</f>
        <v>Middle Age 31-54</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cm="1">
        <f t="array" ref="M728">_xlfn.IFS(L728&lt;31, "Adolescent 0-30",L728&lt;=54,"Middle Age 31-54",L728&gt;=55,"Old 55+")</f>
        <v>Middle Age 31-54</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cm="1">
        <f t="array" ref="M729">_xlfn.IFS(L729&lt;31, "Adolescent 0-30",L729&lt;=54,"Middle Age 31-54",L729&gt;=55,"Old 55+")</f>
        <v>Middle Age 31-54</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cm="1">
        <f t="array" ref="M730">_xlfn.IFS(L730&lt;31, "Adolescent 0-30",L730&lt;=54,"Middle Age 31-54",L730&gt;=55,"Old 55+")</f>
        <v>Adolescent 0-30</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cm="1">
        <f t="array" ref="M731">_xlfn.IFS(L731&lt;31, "Adolescent 0-30",L731&lt;=54,"Middle Age 31-54",L731&gt;=55,"Old 55+")</f>
        <v>Middle Age 31-54</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cm="1">
        <f t="array" ref="M732">_xlfn.IFS(L732&lt;31, "Adolescent 0-30",L732&lt;=54,"Middle Age 31-54",L732&gt;=55,"Old 55+")</f>
        <v>Middle Age 31-54</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cm="1">
        <f t="array" ref="M733">_xlfn.IFS(L733&lt;31, "Adolescent 0-30",L733&lt;=54,"Middle Age 31-54",L733&gt;=55,"Old 55+")</f>
        <v>Middle Age 31-54</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cm="1">
        <f t="array" ref="M734">_xlfn.IFS(L734&lt;31, "Adolescent 0-30",L734&lt;=54,"Middle Age 31-54",L734&gt;=55,"Old 55+")</f>
        <v>Middle Age 31-54</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cm="1">
        <f t="array" ref="M735">_xlfn.IFS(L735&lt;31, "Adolescent 0-30",L735&lt;=54,"Middle Age 31-54",L735&gt;=55,"Old 55+")</f>
        <v>Middle Age 31-54</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cm="1">
        <f t="array" ref="M736">_xlfn.IFS(L736&lt;31, "Adolescent 0-30",L736&lt;=54,"Middle Age 31-54",L736&gt;=55,"Old 55+")</f>
        <v>Middle Age 31-54</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cm="1">
        <f t="array" ref="M737">_xlfn.IFS(L737&lt;31, "Adolescent 0-30",L737&lt;=54,"Middle Age 31-54",L737&gt;=55,"Old 55+")</f>
        <v>Adolescent 0-30</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cm="1">
        <f t="array" ref="M738">_xlfn.IFS(L738&lt;31, "Adolescent 0-30",L738&lt;=54,"Middle Age 31-54",L738&gt;=55,"Old 55+")</f>
        <v>Middle Age 31-54</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cm="1">
        <f t="array" ref="M739">_xlfn.IFS(L739&lt;31, "Adolescent 0-30",L739&lt;=54,"Middle Age 31-54",L739&gt;=55,"Old 55+")</f>
        <v>Middle Age 31-54</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cm="1">
        <f t="array" ref="M740">_xlfn.IFS(L740&lt;31, "Adolescent 0-30",L740&lt;=54,"Middle Age 31-54",L740&gt;=55,"Old 55+")</f>
        <v>Middle Age 31-54</v>
      </c>
      <c r="N740" t="s">
        <v>15</v>
      </c>
    </row>
    <row r="741" spans="1:14" x14ac:dyDescent="0.2">
      <c r="A741">
        <v>11225</v>
      </c>
      <c r="B741" t="s">
        <v>36</v>
      </c>
      <c r="C741" t="s">
        <v>39</v>
      </c>
      <c r="D741" s="3">
        <v>60000</v>
      </c>
      <c r="E741">
        <v>2</v>
      </c>
      <c r="F741" t="s">
        <v>19</v>
      </c>
      <c r="G741" t="s">
        <v>21</v>
      </c>
      <c r="H741" t="s">
        <v>15</v>
      </c>
      <c r="I741">
        <v>1</v>
      </c>
      <c r="J741" t="s">
        <v>47</v>
      </c>
      <c r="K741" t="s">
        <v>32</v>
      </c>
      <c r="L741">
        <v>55</v>
      </c>
      <c r="M741" t="str" cm="1">
        <f t="array" ref="M741">_xlfn.IFS(L741&lt;31, "Adolescent 0-30",L741&lt;=54,"Middle Age 31-54",L741&gt;=55,"Old 55+")</f>
        <v>Old 55+</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cm="1">
        <f t="array" ref="M742">_xlfn.IFS(L742&lt;31, "Adolescent 0-30",L742&lt;=54,"Middle Age 31-54",L742&gt;=55,"Old 55+")</f>
        <v>Adolescent 0-30</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cm="1">
        <f t="array" ref="M743">_xlfn.IFS(L743&lt;31, "Adolescent 0-30",L743&lt;=54,"Middle Age 31-54",L743&gt;=55,"Old 55+")</f>
        <v>Middle Age 31-54</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cm="1">
        <f t="array" ref="M744">_xlfn.IFS(L744&lt;31, "Adolescent 0-30",L744&lt;=54,"Middle Age 31-54",L744&gt;=55,"Old 55+")</f>
        <v>Adolescent 0-30</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cm="1">
        <f t="array" ref="M745">_xlfn.IFS(L745&lt;31, "Adolescent 0-30",L745&lt;=54,"Middle Age 31-54",L745&gt;=55,"Old 55+")</f>
        <v>Middle Age 31-54</v>
      </c>
      <c r="N745" t="s">
        <v>18</v>
      </c>
    </row>
    <row r="746" spans="1:14" x14ac:dyDescent="0.2">
      <c r="A746">
        <v>20535</v>
      </c>
      <c r="B746" t="s">
        <v>36</v>
      </c>
      <c r="C746" t="s">
        <v>39</v>
      </c>
      <c r="D746" s="3">
        <v>70000</v>
      </c>
      <c r="E746">
        <v>4</v>
      </c>
      <c r="F746" t="s">
        <v>19</v>
      </c>
      <c r="G746" t="s">
        <v>21</v>
      </c>
      <c r="H746" t="s">
        <v>15</v>
      </c>
      <c r="I746">
        <v>1</v>
      </c>
      <c r="J746" t="s">
        <v>47</v>
      </c>
      <c r="K746" t="s">
        <v>32</v>
      </c>
      <c r="L746">
        <v>56</v>
      </c>
      <c r="M746" t="str" cm="1">
        <f t="array" ref="M746">_xlfn.IFS(L746&lt;31, "Adolescent 0-30",L746&lt;=54,"Middle Age 31-54",L746&gt;=55,"Old 55+")</f>
        <v>Old 55+</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cm="1">
        <f t="array" ref="M747">_xlfn.IFS(L747&lt;31, "Adolescent 0-30",L747&lt;=54,"Middle Age 31-54",L747&gt;=55,"Old 55+")</f>
        <v>Middle Age 31-54</v>
      </c>
      <c r="N747" t="s">
        <v>15</v>
      </c>
    </row>
    <row r="748" spans="1:14" x14ac:dyDescent="0.2">
      <c r="A748">
        <v>28043</v>
      </c>
      <c r="B748" t="s">
        <v>36</v>
      </c>
      <c r="C748" t="s">
        <v>39</v>
      </c>
      <c r="D748" s="3">
        <v>60000</v>
      </c>
      <c r="E748">
        <v>2</v>
      </c>
      <c r="F748" t="s">
        <v>13</v>
      </c>
      <c r="G748" t="s">
        <v>28</v>
      </c>
      <c r="H748" t="s">
        <v>15</v>
      </c>
      <c r="I748">
        <v>0</v>
      </c>
      <c r="J748" t="s">
        <v>47</v>
      </c>
      <c r="K748" t="s">
        <v>32</v>
      </c>
      <c r="L748">
        <v>56</v>
      </c>
      <c r="M748" t="str" cm="1">
        <f t="array" ref="M748">_xlfn.IFS(L748&lt;31, "Adolescent 0-30",L748&lt;=54,"Middle Age 31-54",L748&gt;=55,"Old 55+")</f>
        <v>Old 55+</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cm="1">
        <f t="array" ref="M749">_xlfn.IFS(L749&lt;31, "Adolescent 0-30",L749&lt;=54,"Middle Age 31-54",L749&gt;=55,"Old 55+")</f>
        <v>Middle Age 31-54</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cm="1">
        <f t="array" ref="M750">_xlfn.IFS(L750&lt;31, "Adolescent 0-30",L750&lt;=54,"Middle Age 31-54",L750&gt;=55,"Old 55+")</f>
        <v>Old 55+</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cm="1">
        <f t="array" ref="M751">_xlfn.IFS(L751&lt;31, "Adolescent 0-30",L751&lt;=54,"Middle Age 31-54",L751&gt;=55,"Old 55+")</f>
        <v>Old 55+</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cm="1">
        <f t="array" ref="M752">_xlfn.IFS(L752&lt;31, "Adolescent 0-30",L752&lt;=54,"Middle Age 31-54",L752&gt;=55,"Old 55+")</f>
        <v>Middle Age 31-54</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cm="1">
        <f t="array" ref="M753">_xlfn.IFS(L753&lt;31, "Adolescent 0-30",L753&lt;=54,"Middle Age 31-54",L753&gt;=55,"Old 55+")</f>
        <v>Middle Age 31-54</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cm="1">
        <f t="array" ref="M754">_xlfn.IFS(L754&lt;31, "Adolescent 0-30",L754&lt;=54,"Middle Age 31-54",L754&gt;=55,"Old 55+")</f>
        <v>Middle Age 31-54</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cm="1">
        <f t="array" ref="M755">_xlfn.IFS(L755&lt;31, "Adolescent 0-30",L755&lt;=54,"Middle Age 31-54",L755&gt;=55,"Old 55+")</f>
        <v>Adolescent 0-30</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cm="1">
        <f t="array" ref="M756">_xlfn.IFS(L756&lt;31, "Adolescent 0-30",L756&lt;=54,"Middle Age 31-54",L756&gt;=55,"Old 55+")</f>
        <v>Old 55+</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cm="1">
        <f t="array" ref="M757">_xlfn.IFS(L757&lt;31, "Adolescent 0-30",L757&lt;=54,"Middle Age 31-54",L757&gt;=55,"Old 55+")</f>
        <v>Middle Age 31-54</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cm="1">
        <f t="array" ref="M758">_xlfn.IFS(L758&lt;31, "Adolescent 0-30",L758&lt;=54,"Middle Age 31-54",L758&gt;=55,"Old 55+")</f>
        <v>Middle Age 31-54</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cm="1">
        <f t="array" ref="M759">_xlfn.IFS(L759&lt;31, "Adolescent 0-30",L759&lt;=54,"Middle Age 31-54",L759&gt;=55,"Old 55+")</f>
        <v>Middle Age 31-54</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cm="1">
        <f t="array" ref="M760">_xlfn.IFS(L760&lt;31, "Adolescent 0-30",L760&lt;=54,"Middle Age 31-54",L760&gt;=55,"Old 55+")</f>
        <v>Middle Age 31-54</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cm="1">
        <f t="array" ref="M761">_xlfn.IFS(L761&lt;31, "Adolescent 0-30",L761&lt;=54,"Middle Age 31-54",L761&gt;=55,"Old 55+")</f>
        <v>Middle Age 31-54</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cm="1">
        <f t="array" ref="M762">_xlfn.IFS(L762&lt;31, "Adolescent 0-30",L762&lt;=54,"Middle Age 31-54",L762&gt;=55,"Old 55+")</f>
        <v>Middle Age 31-54</v>
      </c>
      <c r="N762" t="s">
        <v>18</v>
      </c>
    </row>
    <row r="763" spans="1:14" x14ac:dyDescent="0.2">
      <c r="A763">
        <v>13216</v>
      </c>
      <c r="B763" t="s">
        <v>36</v>
      </c>
      <c r="C763" t="s">
        <v>39</v>
      </c>
      <c r="D763" s="3">
        <v>60000</v>
      </c>
      <c r="E763">
        <v>5</v>
      </c>
      <c r="F763" t="s">
        <v>13</v>
      </c>
      <c r="G763" t="s">
        <v>28</v>
      </c>
      <c r="H763" t="s">
        <v>15</v>
      </c>
      <c r="I763">
        <v>3</v>
      </c>
      <c r="J763" t="s">
        <v>47</v>
      </c>
      <c r="K763" t="s">
        <v>32</v>
      </c>
      <c r="L763">
        <v>59</v>
      </c>
      <c r="M763" t="str" cm="1">
        <f t="array" ref="M763">_xlfn.IFS(L763&lt;31, "Adolescent 0-30",L763&lt;=54,"Middle Age 31-54",L763&gt;=55,"Old 55+")</f>
        <v>Old 55+</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cm="1">
        <f t="array" ref="M764">_xlfn.IFS(L764&lt;31, "Adolescent 0-30",L764&lt;=54,"Middle Age 31-54",L764&gt;=55,"Old 55+")</f>
        <v>Middle Age 31-54</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cm="1">
        <f t="array" ref="M765">_xlfn.IFS(L765&lt;31, "Adolescent 0-30",L765&lt;=54,"Middle Age 31-54",L765&gt;=55,"Old 55+")</f>
        <v>Middle Age 31-54</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cm="1">
        <f t="array" ref="M766">_xlfn.IFS(L766&lt;31, "Adolescent 0-30",L766&lt;=54,"Middle Age 31-54",L766&gt;=55,"Old 55+")</f>
        <v>Adolescent 0-30</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cm="1">
        <f t="array" ref="M767">_xlfn.IFS(L767&lt;31, "Adolescent 0-30",L767&lt;=54,"Middle Age 31-54",L767&gt;=55,"Old 55+")</f>
        <v>Middle Age 31-54</v>
      </c>
      <c r="N767" t="s">
        <v>15</v>
      </c>
    </row>
    <row r="768" spans="1:14" x14ac:dyDescent="0.2">
      <c r="A768">
        <v>14608</v>
      </c>
      <c r="B768" t="s">
        <v>36</v>
      </c>
      <c r="C768" t="s">
        <v>38</v>
      </c>
      <c r="D768" s="3">
        <v>50000</v>
      </c>
      <c r="E768">
        <v>4</v>
      </c>
      <c r="F768" t="s">
        <v>13</v>
      </c>
      <c r="G768" t="s">
        <v>14</v>
      </c>
      <c r="H768" t="s">
        <v>15</v>
      </c>
      <c r="I768">
        <v>3</v>
      </c>
      <c r="J768" t="s">
        <v>47</v>
      </c>
      <c r="K768" t="s">
        <v>32</v>
      </c>
      <c r="L768">
        <v>42</v>
      </c>
      <c r="M768" t="str" cm="1">
        <f t="array" ref="M768">_xlfn.IFS(L768&lt;31, "Adolescent 0-30",L768&lt;=54,"Middle Age 31-54",L768&gt;=55,"Old 55+")</f>
        <v>Middle Age 31-54</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cm="1">
        <f t="array" ref="M769">_xlfn.IFS(L769&lt;31, "Adolescent 0-30",L769&lt;=54,"Middle Age 31-54",L769&gt;=55,"Old 55+")</f>
        <v>Old 55+</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cm="1">
        <f t="array" ref="M770">_xlfn.IFS(L770&lt;31, "Adolescent 0-30",L770&lt;=54,"Middle Age 31-54",L770&gt;=55,"Old 55+")</f>
        <v>Middle Age 31-54</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cm="1">
        <f t="array" ref="M771">_xlfn.IFS(L771&lt;31, "Adolescent 0-30",L771&lt;=54,"Middle Age 31-54",L771&gt;=55,"Old 55+")</f>
        <v>Middle Age 31-54</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cm="1">
        <f t="array" ref="M772">_xlfn.IFS(L772&lt;31, "Adolescent 0-30",L772&lt;=54,"Middle Age 31-54",L772&gt;=55,"Old 55+")</f>
        <v>Old 55+</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cm="1">
        <f t="array" ref="M773">_xlfn.IFS(L773&lt;31, "Adolescent 0-30",L773&lt;=54,"Middle Age 31-54",L773&gt;=55,"Old 55+")</f>
        <v>Middle Age 31-54</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cm="1">
        <f t="array" ref="M774">_xlfn.IFS(L774&lt;31, "Adolescent 0-30",L774&lt;=54,"Middle Age 31-54",L774&gt;=55,"Old 55+")</f>
        <v>Middle Age 31-54</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cm="1">
        <f t="array" ref="M775">_xlfn.IFS(L775&lt;31, "Adolescent 0-30",L775&lt;=54,"Middle Age 31-54",L775&gt;=55,"Old 55+")</f>
        <v>Middle Age 31-54</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cm="1">
        <f t="array" ref="M776">_xlfn.IFS(L776&lt;31, "Adolescent 0-30",L776&lt;=54,"Middle Age 31-54",L776&gt;=55,"Old 55+")</f>
        <v>Middle Age 31-54</v>
      </c>
      <c r="N776" t="s">
        <v>15</v>
      </c>
    </row>
    <row r="777" spans="1:14" x14ac:dyDescent="0.2">
      <c r="A777">
        <v>29030</v>
      </c>
      <c r="B777" t="s">
        <v>36</v>
      </c>
      <c r="C777" t="s">
        <v>38</v>
      </c>
      <c r="D777" s="3">
        <v>70000</v>
      </c>
      <c r="E777">
        <v>2</v>
      </c>
      <c r="F777" t="s">
        <v>29</v>
      </c>
      <c r="G777" t="s">
        <v>14</v>
      </c>
      <c r="H777" t="s">
        <v>15</v>
      </c>
      <c r="I777">
        <v>2</v>
      </c>
      <c r="J777" t="s">
        <v>47</v>
      </c>
      <c r="K777" t="s">
        <v>32</v>
      </c>
      <c r="L777">
        <v>54</v>
      </c>
      <c r="M777" t="str" cm="1">
        <f t="array" ref="M777">_xlfn.IFS(L777&lt;31, "Adolescent 0-30",L777&lt;=54,"Middle Age 31-54",L777&gt;=55,"Old 55+")</f>
        <v>Middle Age 31-54</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cm="1">
        <f t="array" ref="M778">_xlfn.IFS(L778&lt;31, "Adolescent 0-30",L778&lt;=54,"Middle Age 31-54",L778&gt;=55,"Old 55+")</f>
        <v>Old 55+</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cm="1">
        <f t="array" ref="M779">_xlfn.IFS(L779&lt;31, "Adolescent 0-30",L779&lt;=54,"Middle Age 31-54",L779&gt;=55,"Old 55+")</f>
        <v>Adolescent 0-30</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cm="1">
        <f t="array" ref="M780">_xlfn.IFS(L780&lt;31, "Adolescent 0-30",L780&lt;=54,"Middle Age 31-54",L780&gt;=55,"Old 55+")</f>
        <v>Middle Age 31-54</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cm="1">
        <f t="array" ref="M781">_xlfn.IFS(L781&lt;31, "Adolescent 0-30",L781&lt;=54,"Middle Age 31-54",L781&gt;=55,"Old 55+")</f>
        <v>Middle Age 31-54</v>
      </c>
      <c r="N781" t="s">
        <v>15</v>
      </c>
    </row>
    <row r="782" spans="1:14" x14ac:dyDescent="0.2">
      <c r="A782">
        <v>18105</v>
      </c>
      <c r="B782" t="s">
        <v>36</v>
      </c>
      <c r="C782" t="s">
        <v>39</v>
      </c>
      <c r="D782" s="3">
        <v>60000</v>
      </c>
      <c r="E782">
        <v>2</v>
      </c>
      <c r="F782" t="s">
        <v>19</v>
      </c>
      <c r="G782" t="s">
        <v>21</v>
      </c>
      <c r="H782" t="s">
        <v>15</v>
      </c>
      <c r="I782">
        <v>1</v>
      </c>
      <c r="J782" t="s">
        <v>47</v>
      </c>
      <c r="K782" t="s">
        <v>32</v>
      </c>
      <c r="L782">
        <v>55</v>
      </c>
      <c r="M782" t="str" cm="1">
        <f t="array" ref="M782">_xlfn.IFS(L782&lt;31, "Adolescent 0-30",L782&lt;=54,"Middle Age 31-54",L782&gt;=55,"Old 55+")</f>
        <v>Old 55+</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cm="1">
        <f t="array" ref="M783">_xlfn.IFS(L783&lt;31, "Adolescent 0-30",L783&lt;=54,"Middle Age 31-54",L783&gt;=55,"Old 55+")</f>
        <v>Middle Age 31-54</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cm="1">
        <f t="array" ref="M784">_xlfn.IFS(L784&lt;31, "Adolescent 0-30",L784&lt;=54,"Middle Age 31-54",L784&gt;=55,"Old 55+")</f>
        <v>Middle Age 31-54</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cm="1">
        <f t="array" ref="M785">_xlfn.IFS(L785&lt;31, "Adolescent 0-30",L785&lt;=54,"Middle Age 31-54",L785&gt;=55,"Old 55+")</f>
        <v>Middle Age 31-54</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cm="1">
        <f t="array" ref="M786">_xlfn.IFS(L786&lt;31, "Adolescent 0-30",L786&lt;=54,"Middle Age 31-54",L786&gt;=55,"Old 55+")</f>
        <v>Middle Age 31-54</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cm="1">
        <f t="array" ref="M787">_xlfn.IFS(L787&lt;31, "Adolescent 0-30",L787&lt;=54,"Middle Age 31-54",L787&gt;=55,"Old 55+")</f>
        <v>Adolescent 0-30</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cm="1">
        <f t="array" ref="M788">_xlfn.IFS(L788&lt;31, "Adolescent 0-30",L788&lt;=54,"Middle Age 31-54",L788&gt;=55,"Old 55+")</f>
        <v>Middle Age 31-54</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cm="1">
        <f t="array" ref="M789">_xlfn.IFS(L789&lt;31, "Adolescent 0-30",L789&lt;=54,"Middle Age 31-54",L789&gt;=55,"Old 55+")</f>
        <v>Old 55+</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cm="1">
        <f t="array" ref="M790">_xlfn.IFS(L790&lt;31, "Adolescent 0-30",L790&lt;=54,"Middle Age 31-54",L790&gt;=55,"Old 55+")</f>
        <v>Middle Age 31-54</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cm="1">
        <f t="array" ref="M791">_xlfn.IFS(L791&lt;31, "Adolescent 0-30",L791&lt;=54,"Middle Age 31-54",L791&gt;=55,"Old 55+")</f>
        <v>Middle Age 31-54</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cm="1">
        <f t="array" ref="M792">_xlfn.IFS(L792&lt;31, "Adolescent 0-30",L792&lt;=54,"Middle Age 31-54",L792&gt;=55,"Old 55+")</f>
        <v>Middle Age 31-54</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cm="1">
        <f t="array" ref="M793">_xlfn.IFS(L793&lt;31, "Adolescent 0-30",L793&lt;=54,"Middle Age 31-54",L793&gt;=55,"Old 55+")</f>
        <v>Adolescent 0-30</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cm="1">
        <f t="array" ref="M794">_xlfn.IFS(L794&lt;31, "Adolescent 0-30",L794&lt;=54,"Middle Age 31-54",L794&gt;=55,"Old 55+")</f>
        <v>Middle Age 31-54</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cm="1">
        <f t="array" ref="M795">_xlfn.IFS(L795&lt;31, "Adolescent 0-30",L795&lt;=54,"Middle Age 31-54",L795&gt;=55,"Old 55+")</f>
        <v>Middle Age 31-54</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cm="1">
        <f t="array" ref="M796">_xlfn.IFS(L796&lt;31, "Adolescent 0-30",L796&lt;=54,"Middle Age 31-54",L796&gt;=55,"Old 55+")</f>
        <v>Old 55+</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cm="1">
        <f t="array" ref="M797">_xlfn.IFS(L797&lt;31, "Adolescent 0-30",L797&lt;=54,"Middle Age 31-54",L797&gt;=55,"Old 55+")</f>
        <v>Middle Age 31-54</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cm="1">
        <f t="array" ref="M798">_xlfn.IFS(L798&lt;31, "Adolescent 0-30",L798&lt;=54,"Middle Age 31-54",L798&gt;=55,"Old 55+")</f>
        <v>Old 55+</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cm="1">
        <f t="array" ref="M799">_xlfn.IFS(L799&lt;31, "Adolescent 0-30",L799&lt;=54,"Middle Age 31-54",L799&gt;=55,"Old 55+")</f>
        <v>Adolescent 0-30</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cm="1">
        <f t="array" ref="M800">_xlfn.IFS(L800&lt;31, "Adolescent 0-30",L800&lt;=54,"Middle Age 31-54",L800&gt;=55,"Old 55+")</f>
        <v>Adolescent 0-30</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cm="1">
        <f t="array" ref="M801">_xlfn.IFS(L801&lt;31, "Adolescent 0-30",L801&lt;=54,"Middle Age 31-54",L801&gt;=55,"Old 55+")</f>
        <v>Middle Age 31-54</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cm="1">
        <f t="array" ref="M802">_xlfn.IFS(L802&lt;31, "Adolescent 0-30",L802&lt;=54,"Middle Age 31-54",L802&gt;=55,"Old 55+")</f>
        <v>Middle Age 31-54</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cm="1">
        <f t="array" ref="M803">_xlfn.IFS(L803&lt;31, "Adolescent 0-30",L803&lt;=54,"Middle Age 31-54",L803&gt;=55,"Old 55+")</f>
        <v>Old 55+</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cm="1">
        <f t="array" ref="M804">_xlfn.IFS(L804&lt;31, "Adolescent 0-30",L804&lt;=54,"Middle Age 31-54",L804&gt;=55,"Old 55+")</f>
        <v>Adolescent 0-30</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cm="1">
        <f t="array" ref="M805">_xlfn.IFS(L805&lt;31, "Adolescent 0-30",L805&lt;=54,"Middle Age 31-54",L805&gt;=55,"Old 55+")</f>
        <v>Adolescent 0-30</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cm="1">
        <f t="array" ref="M806">_xlfn.IFS(L806&lt;31, "Adolescent 0-30",L806&lt;=54,"Middle Age 31-54",L806&gt;=55,"Old 55+")</f>
        <v>Adolescent 0-30</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cm="1">
        <f t="array" ref="M807">_xlfn.IFS(L807&lt;31, "Adolescent 0-30",L807&lt;=54,"Middle Age 31-54",L807&gt;=55,"Old 55+")</f>
        <v>Middle Age 31-54</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cm="1">
        <f t="array" ref="M808">_xlfn.IFS(L808&lt;31, "Adolescent 0-30",L808&lt;=54,"Middle Age 31-54",L808&gt;=55,"Old 55+")</f>
        <v>Middle Age 31-54</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cm="1">
        <f t="array" ref="M809">_xlfn.IFS(L809&lt;31, "Adolescent 0-30",L809&lt;=54,"Middle Age 31-54",L809&gt;=55,"Old 55+")</f>
        <v>Middle Age 31-54</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cm="1">
        <f t="array" ref="M810">_xlfn.IFS(L810&lt;31, "Adolescent 0-30",L810&lt;=54,"Middle Age 31-54",L810&gt;=55,"Old 55+")</f>
        <v>Middle Age 31-54</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cm="1">
        <f t="array" ref="M811">_xlfn.IFS(L811&lt;31, "Adolescent 0-30",L811&lt;=54,"Middle Age 31-54",L811&gt;=55,"Old 55+")</f>
        <v>Old 55+</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cm="1">
        <f t="array" ref="M812">_xlfn.IFS(L812&lt;31, "Adolescent 0-30",L812&lt;=54,"Middle Age 31-54",L812&gt;=55,"Old 55+")</f>
        <v>Middle Age 31-54</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cm="1">
        <f t="array" ref="M813">_xlfn.IFS(L813&lt;31, "Adolescent 0-30",L813&lt;=54,"Middle Age 31-54",L813&gt;=55,"Old 55+")</f>
        <v>Middle Age 31-54</v>
      </c>
      <c r="N813" t="s">
        <v>18</v>
      </c>
    </row>
    <row r="814" spans="1:14" x14ac:dyDescent="0.2">
      <c r="A814">
        <v>15749</v>
      </c>
      <c r="B814" t="s">
        <v>37</v>
      </c>
      <c r="C814" t="s">
        <v>39</v>
      </c>
      <c r="D814" s="3">
        <v>70000</v>
      </c>
      <c r="E814">
        <v>4</v>
      </c>
      <c r="F814" t="s">
        <v>13</v>
      </c>
      <c r="G814" t="s">
        <v>28</v>
      </c>
      <c r="H814" t="s">
        <v>15</v>
      </c>
      <c r="I814">
        <v>2</v>
      </c>
      <c r="J814" t="s">
        <v>47</v>
      </c>
      <c r="K814" t="s">
        <v>32</v>
      </c>
      <c r="L814">
        <v>61</v>
      </c>
      <c r="M814" t="str" cm="1">
        <f t="array" ref="M814">_xlfn.IFS(L814&lt;31, "Adolescent 0-30",L814&lt;=54,"Middle Age 31-54",L814&gt;=55,"Old 55+")</f>
        <v>Old 55+</v>
      </c>
      <c r="N814" t="s">
        <v>18</v>
      </c>
    </row>
    <row r="815" spans="1:14" x14ac:dyDescent="0.2">
      <c r="A815">
        <v>25899</v>
      </c>
      <c r="B815" t="s">
        <v>36</v>
      </c>
      <c r="C815" t="s">
        <v>39</v>
      </c>
      <c r="D815" s="3">
        <v>70000</v>
      </c>
      <c r="E815">
        <v>2</v>
      </c>
      <c r="F815" t="s">
        <v>27</v>
      </c>
      <c r="G815" t="s">
        <v>21</v>
      </c>
      <c r="H815" t="s">
        <v>15</v>
      </c>
      <c r="I815">
        <v>2</v>
      </c>
      <c r="J815" t="s">
        <v>47</v>
      </c>
      <c r="K815" t="s">
        <v>32</v>
      </c>
      <c r="L815">
        <v>53</v>
      </c>
      <c r="M815" t="str" cm="1">
        <f t="array" ref="M815">_xlfn.IFS(L815&lt;31, "Adolescent 0-30",L815&lt;=54,"Middle Age 31-54",L815&gt;=55,"Old 55+")</f>
        <v>Middle Age 31-54</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cm="1">
        <f t="array" ref="M816">_xlfn.IFS(L816&lt;31, "Adolescent 0-30",L816&lt;=54,"Middle Age 31-54",L816&gt;=55,"Old 55+")</f>
        <v>Old 55+</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cm="1">
        <f t="array" ref="M817">_xlfn.IFS(L817&lt;31, "Adolescent 0-30",L817&lt;=54,"Middle Age 31-54",L817&gt;=55,"Old 55+")</f>
        <v>Adolescent 0-30</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cm="1">
        <f t="array" ref="M818">_xlfn.IFS(L818&lt;31, "Adolescent 0-30",L818&lt;=54,"Middle Age 31-54",L818&gt;=55,"Old 55+")</f>
        <v>Middle Age 31-54</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cm="1">
        <f t="array" ref="M819">_xlfn.IFS(L819&lt;31, "Adolescent 0-30",L819&lt;=54,"Middle Age 31-54",L819&gt;=55,"Old 55+")</f>
        <v>Middle Age 31-54</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cm="1">
        <f t="array" ref="M820">_xlfn.IFS(L820&lt;31, "Adolescent 0-30",L820&lt;=54,"Middle Age 31-54",L820&gt;=55,"Old 55+")</f>
        <v>Adolescent 0-30</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cm="1">
        <f t="array" ref="M821">_xlfn.IFS(L821&lt;31, "Adolescent 0-30",L821&lt;=54,"Middle Age 31-54",L821&gt;=55,"Old 55+")</f>
        <v>Adolescent 0-30</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cm="1">
        <f t="array" ref="M822">_xlfn.IFS(L822&lt;31, "Adolescent 0-30",L822&lt;=54,"Middle Age 31-54",L822&gt;=55,"Old 55+")</f>
        <v>Middle Age 31-54</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cm="1">
        <f t="array" ref="M823">_xlfn.IFS(L823&lt;31, "Adolescent 0-30",L823&lt;=54,"Middle Age 31-54",L823&gt;=55,"Old 55+")</f>
        <v>Middle Age 31-54</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cm="1">
        <f t="array" ref="M824">_xlfn.IFS(L824&lt;31, "Adolescent 0-30",L824&lt;=54,"Middle Age 31-54",L824&gt;=55,"Old 55+")</f>
        <v>Middle Age 31-54</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cm="1">
        <f t="array" ref="M825">_xlfn.IFS(L825&lt;31, "Adolescent 0-30",L825&lt;=54,"Middle Age 31-54",L825&gt;=55,"Old 55+")</f>
        <v>Middle Age 31-54</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cm="1">
        <f t="array" ref="M826">_xlfn.IFS(L826&lt;31, "Adolescent 0-30",L826&lt;=54,"Middle Age 31-54",L826&gt;=55,"Old 55+")</f>
        <v>Middle Age 31-54</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cm="1">
        <f t="array" ref="M827">_xlfn.IFS(L827&lt;31, "Adolescent 0-30",L827&lt;=54,"Middle Age 31-54",L827&gt;=55,"Old 55+")</f>
        <v>Middle Age 31-54</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cm="1">
        <f t="array" ref="M828">_xlfn.IFS(L828&lt;31, "Adolescent 0-30",L828&lt;=54,"Middle Age 31-54",L828&gt;=55,"Old 55+")</f>
        <v>Middle Age 31-54</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cm="1">
        <f t="array" ref="M829">_xlfn.IFS(L829&lt;31, "Adolescent 0-30",L829&lt;=54,"Middle Age 31-54",L829&gt;=55,"Old 55+")</f>
        <v>Middle Age 31-54</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cm="1">
        <f t="array" ref="M830">_xlfn.IFS(L830&lt;31, "Adolescent 0-30",L830&lt;=54,"Middle Age 31-54",L830&gt;=55,"Old 55+")</f>
        <v>Adolescent 0-30</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cm="1">
        <f t="array" ref="M831">_xlfn.IFS(L831&lt;31, "Adolescent 0-30",L831&lt;=54,"Middle Age 31-54",L831&gt;=55,"Old 55+")</f>
        <v>Old 55+</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cm="1">
        <f t="array" ref="M832">_xlfn.IFS(L832&lt;31, "Adolescent 0-30",L832&lt;=54,"Middle Age 31-54",L832&gt;=55,"Old 55+")</f>
        <v>Middle Age 31-54</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cm="1">
        <f t="array" ref="M833">_xlfn.IFS(L833&lt;31, "Adolescent 0-30",L833&lt;=54,"Middle Age 31-54",L833&gt;=55,"Old 55+")</f>
        <v>Middle Age 31-54</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cm="1">
        <f t="array" ref="M834">_xlfn.IFS(L834&lt;31, "Adolescent 0-30",L834&lt;=54,"Middle Age 31-54",L834&gt;=55,"Old 55+")</f>
        <v>Middle Age 31-54</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cm="1">
        <f t="array" ref="M835">_xlfn.IFS(L835&lt;31, "Adolescent 0-30",L835&lt;=54,"Middle Age 31-54",L835&gt;=55,"Old 55+")</f>
        <v>Middle Age 31-54</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cm="1">
        <f t="array" ref="M836">_xlfn.IFS(L836&lt;31, "Adolescent 0-30",L836&lt;=54,"Middle Age 31-54",L836&gt;=55,"Old 55+")</f>
        <v>Middle Age 31-54</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cm="1">
        <f t="array" ref="M837">_xlfn.IFS(L837&lt;31, "Adolescent 0-30",L837&lt;=54,"Middle Age 31-54",L837&gt;=55,"Old 55+")</f>
        <v>Middle Age 31-54</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cm="1">
        <f t="array" ref="M838">_xlfn.IFS(L838&lt;31, "Adolescent 0-30",L838&lt;=54,"Middle Age 31-54",L838&gt;=55,"Old 55+")</f>
        <v>Adolescent 0-30</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cm="1">
        <f t="array" ref="M839">_xlfn.IFS(L839&lt;31, "Adolescent 0-30",L839&lt;=54,"Middle Age 31-54",L839&gt;=55,"Old 55+")</f>
        <v>Middle Age 31-54</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cm="1">
        <f t="array" ref="M840">_xlfn.IFS(L840&lt;31, "Adolescent 0-30",L840&lt;=54,"Middle Age 31-54",L840&gt;=55,"Old 55+")</f>
        <v>Middle Age 31-54</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cm="1">
        <f t="array" ref="M841">_xlfn.IFS(L841&lt;31, "Adolescent 0-30",L841&lt;=54,"Middle Age 31-54",L841&gt;=55,"Old 55+")</f>
        <v>Middle Age 31-54</v>
      </c>
      <c r="N841" t="s">
        <v>15</v>
      </c>
    </row>
    <row r="842" spans="1:14" x14ac:dyDescent="0.2">
      <c r="A842">
        <v>11233</v>
      </c>
      <c r="B842" t="s">
        <v>36</v>
      </c>
      <c r="C842" t="s">
        <v>38</v>
      </c>
      <c r="D842" s="3">
        <v>70000</v>
      </c>
      <c r="E842">
        <v>4</v>
      </c>
      <c r="F842" t="s">
        <v>19</v>
      </c>
      <c r="G842" t="s">
        <v>21</v>
      </c>
      <c r="H842" t="s">
        <v>15</v>
      </c>
      <c r="I842">
        <v>2</v>
      </c>
      <c r="J842" t="s">
        <v>47</v>
      </c>
      <c r="K842" t="s">
        <v>32</v>
      </c>
      <c r="L842">
        <v>53</v>
      </c>
      <c r="M842" t="str" cm="1">
        <f t="array" ref="M842">_xlfn.IFS(L842&lt;31, "Adolescent 0-30",L842&lt;=54,"Middle Age 31-54",L842&gt;=55,"Old 55+")</f>
        <v>Middle Age 31-54</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cm="1">
        <f t="array" ref="M843">_xlfn.IFS(L843&lt;31, "Adolescent 0-30",L843&lt;=54,"Middle Age 31-54",L843&gt;=55,"Old 55+")</f>
        <v>Old 55+</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cm="1">
        <f t="array" ref="M844">_xlfn.IFS(L844&lt;31, "Adolescent 0-30",L844&lt;=54,"Middle Age 31-54",L844&gt;=55,"Old 55+")</f>
        <v>Middle Age 31-54</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cm="1">
        <f t="array" ref="M845">_xlfn.IFS(L845&lt;31, "Adolescent 0-30",L845&lt;=54,"Middle Age 31-54",L845&gt;=55,"Old 55+")</f>
        <v>Middle Age 31-54</v>
      </c>
      <c r="N845" t="s">
        <v>18</v>
      </c>
    </row>
    <row r="846" spans="1:14" x14ac:dyDescent="0.2">
      <c r="A846">
        <v>22743</v>
      </c>
      <c r="B846" t="s">
        <v>36</v>
      </c>
      <c r="C846" t="s">
        <v>39</v>
      </c>
      <c r="D846" s="3">
        <v>40000</v>
      </c>
      <c r="E846">
        <v>5</v>
      </c>
      <c r="F846" t="s">
        <v>27</v>
      </c>
      <c r="G846" t="s">
        <v>21</v>
      </c>
      <c r="H846" t="s">
        <v>15</v>
      </c>
      <c r="I846">
        <v>2</v>
      </c>
      <c r="J846" t="s">
        <v>47</v>
      </c>
      <c r="K846" t="s">
        <v>32</v>
      </c>
      <c r="L846">
        <v>60</v>
      </c>
      <c r="M846" t="str" cm="1">
        <f t="array" ref="M846">_xlfn.IFS(L846&lt;31, "Adolescent 0-30",L846&lt;=54,"Middle Age 31-54",L846&gt;=55,"Old 55+")</f>
        <v>Old 55+</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cm="1">
        <f t="array" ref="M847">_xlfn.IFS(L847&lt;31, "Adolescent 0-30",L847&lt;=54,"Middle Age 31-54",L847&gt;=55,"Old 55+")</f>
        <v>Middle Age 31-54</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cm="1">
        <f t="array" ref="M848">_xlfn.IFS(L848&lt;31, "Adolescent 0-30",L848&lt;=54,"Middle Age 31-54",L848&gt;=55,"Old 55+")</f>
        <v>Old 55+</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cm="1">
        <f t="array" ref="M849">_xlfn.IFS(L849&lt;31, "Adolescent 0-30",L849&lt;=54,"Middle Age 31-54",L849&gt;=55,"Old 55+")</f>
        <v>Adolescent 0-30</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cm="1">
        <f t="array" ref="M850">_xlfn.IFS(L850&lt;31, "Adolescent 0-30",L850&lt;=54,"Middle Age 31-54",L850&gt;=55,"Old 55+")</f>
        <v>Middle Age 31-54</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cm="1">
        <f t="array" ref="M851">_xlfn.IFS(L851&lt;31, "Adolescent 0-30",L851&lt;=54,"Middle Age 31-54",L851&gt;=55,"Old 55+")</f>
        <v>Old 55+</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cm="1">
        <f t="array" ref="M852">_xlfn.IFS(L852&lt;31, "Adolescent 0-30",L852&lt;=54,"Middle Age 31-54",L852&gt;=55,"Old 55+")</f>
        <v>Old 55+</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cm="1">
        <f t="array" ref="M853">_xlfn.IFS(L853&lt;31, "Adolescent 0-30",L853&lt;=54,"Middle Age 31-54",L853&gt;=55,"Old 55+")</f>
        <v>Middle Age 31-54</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cm="1">
        <f t="array" ref="M854">_xlfn.IFS(L854&lt;31, "Adolescent 0-30",L854&lt;=54,"Middle Age 31-54",L854&gt;=55,"Old 55+")</f>
        <v>Middle Age 31-54</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cm="1">
        <f t="array" ref="M855">_xlfn.IFS(L855&lt;31, "Adolescent 0-30",L855&lt;=54,"Middle Age 31-54",L855&gt;=55,"Old 55+")</f>
        <v>Middle Age 31-54</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cm="1">
        <f t="array" ref="M856">_xlfn.IFS(L856&lt;31, "Adolescent 0-30",L856&lt;=54,"Middle Age 31-54",L856&gt;=55,"Old 55+")</f>
        <v>Middle Age 31-54</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cm="1">
        <f t="array" ref="M857">_xlfn.IFS(L857&lt;31, "Adolescent 0-30",L857&lt;=54,"Middle Age 31-54",L857&gt;=55,"Old 55+")</f>
        <v>Middle Age 31-54</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cm="1">
        <f t="array" ref="M858">_xlfn.IFS(L858&lt;31, "Adolescent 0-30",L858&lt;=54,"Middle Age 31-54",L858&gt;=55,"Old 55+")</f>
        <v>Adolescent 0-30</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cm="1">
        <f t="array" ref="M859">_xlfn.IFS(L859&lt;31, "Adolescent 0-30",L859&lt;=54,"Middle Age 31-54",L859&gt;=55,"Old 55+")</f>
        <v>Middle Age 31-54</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cm="1">
        <f t="array" ref="M860">_xlfn.IFS(L860&lt;31, "Adolescent 0-30",L860&lt;=54,"Middle Age 31-54",L860&gt;=55,"Old 55+")</f>
        <v>Middle Age 31-54</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cm="1">
        <f t="array" ref="M861">_xlfn.IFS(L861&lt;31, "Adolescent 0-30",L861&lt;=54,"Middle Age 31-54",L861&gt;=55,"Old 55+")</f>
        <v>Middle Age 31-54</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cm="1">
        <f t="array" ref="M862">_xlfn.IFS(L862&lt;31, "Adolescent 0-30",L862&lt;=54,"Middle Age 31-54",L862&gt;=55,"Old 55+")</f>
        <v>Middle Age 31-54</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cm="1">
        <f t="array" ref="M863">_xlfn.IFS(L863&lt;31, "Adolescent 0-30",L863&lt;=54,"Middle Age 31-54",L863&gt;=55,"Old 55+")</f>
        <v>Middle Age 31-54</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cm="1">
        <f t="array" ref="M864">_xlfn.IFS(L864&lt;31, "Adolescent 0-30",L864&lt;=54,"Middle Age 31-54",L864&gt;=55,"Old 55+")</f>
        <v>Middle Age 31-54</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cm="1">
        <f t="array" ref="M865">_xlfn.IFS(L865&lt;31, "Adolescent 0-30",L865&lt;=54,"Middle Age 31-54",L865&gt;=55,"Old 55+")</f>
        <v>Middle Age 31-54</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cm="1">
        <f t="array" ref="M866">_xlfn.IFS(L866&lt;31, "Adolescent 0-30",L866&lt;=54,"Middle Age 31-54",L866&gt;=55,"Old 55+")</f>
        <v>Middle Age 31-54</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cm="1">
        <f t="array" ref="M867">_xlfn.IFS(L867&lt;31, "Adolescent 0-30",L867&lt;=54,"Middle Age 31-54",L867&gt;=55,"Old 55+")</f>
        <v>Middle Age 31-54</v>
      </c>
      <c r="N867" t="s">
        <v>15</v>
      </c>
    </row>
    <row r="868" spans="1:14" x14ac:dyDescent="0.2">
      <c r="A868">
        <v>28052</v>
      </c>
      <c r="B868" t="s">
        <v>36</v>
      </c>
      <c r="C868" t="s">
        <v>38</v>
      </c>
      <c r="D868" s="3">
        <v>60000</v>
      </c>
      <c r="E868">
        <v>2</v>
      </c>
      <c r="F868" t="s">
        <v>27</v>
      </c>
      <c r="G868" t="s">
        <v>21</v>
      </c>
      <c r="H868" t="s">
        <v>15</v>
      </c>
      <c r="I868">
        <v>2</v>
      </c>
      <c r="J868" t="s">
        <v>47</v>
      </c>
      <c r="K868" t="s">
        <v>32</v>
      </c>
      <c r="L868">
        <v>55</v>
      </c>
      <c r="M868" t="str" cm="1">
        <f t="array" ref="M868">_xlfn.IFS(L868&lt;31, "Adolescent 0-30",L868&lt;=54,"Middle Age 31-54",L868&gt;=55,"Old 55+")</f>
        <v>Old 55+</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cm="1">
        <f t="array" ref="M869">_xlfn.IFS(L869&lt;31, "Adolescent 0-30",L869&lt;=54,"Middle Age 31-54",L869&gt;=55,"Old 55+")</f>
        <v>Middle Age 31-54</v>
      </c>
      <c r="N869" t="s">
        <v>18</v>
      </c>
    </row>
    <row r="870" spans="1:14" x14ac:dyDescent="0.2">
      <c r="A870">
        <v>24955</v>
      </c>
      <c r="B870" t="s">
        <v>37</v>
      </c>
      <c r="C870" t="s">
        <v>38</v>
      </c>
      <c r="D870" s="3">
        <v>30000</v>
      </c>
      <c r="E870">
        <v>5</v>
      </c>
      <c r="F870" t="s">
        <v>29</v>
      </c>
      <c r="G870" t="s">
        <v>14</v>
      </c>
      <c r="H870" t="s">
        <v>15</v>
      </c>
      <c r="I870">
        <v>3</v>
      </c>
      <c r="J870" t="s">
        <v>47</v>
      </c>
      <c r="K870" t="s">
        <v>32</v>
      </c>
      <c r="L870">
        <v>60</v>
      </c>
      <c r="M870" t="str" cm="1">
        <f t="array" ref="M870">_xlfn.IFS(L870&lt;31, "Adolescent 0-30",L870&lt;=54,"Middle Age 31-54",L870&gt;=55,"Old 55+")</f>
        <v>Old 55+</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cm="1">
        <f t="array" ref="M871">_xlfn.IFS(L871&lt;31, "Adolescent 0-30",L871&lt;=54,"Middle Age 31-54",L871&gt;=55,"Old 55+")</f>
        <v>Middle Age 31-54</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cm="1">
        <f t="array" ref="M872">_xlfn.IFS(L872&lt;31, "Adolescent 0-30",L872&lt;=54,"Middle Age 31-54",L872&gt;=55,"Old 55+")</f>
        <v>Middle Age 31-54</v>
      </c>
      <c r="N872" t="s">
        <v>18</v>
      </c>
    </row>
    <row r="873" spans="1:14" x14ac:dyDescent="0.2">
      <c r="A873">
        <v>11219</v>
      </c>
      <c r="B873" t="s">
        <v>36</v>
      </c>
      <c r="C873" t="s">
        <v>38</v>
      </c>
      <c r="D873" s="3">
        <v>60000</v>
      </c>
      <c r="E873">
        <v>2</v>
      </c>
      <c r="F873" t="s">
        <v>27</v>
      </c>
      <c r="G873" t="s">
        <v>21</v>
      </c>
      <c r="H873" t="s">
        <v>15</v>
      </c>
      <c r="I873">
        <v>2</v>
      </c>
      <c r="J873" t="s">
        <v>47</v>
      </c>
      <c r="K873" t="s">
        <v>32</v>
      </c>
      <c r="L873">
        <v>55</v>
      </c>
      <c r="M873" t="str" cm="1">
        <f t="array" ref="M873">_xlfn.IFS(L873&lt;31, "Adolescent 0-30",L873&lt;=54,"Middle Age 31-54",L873&gt;=55,"Old 55+")</f>
        <v>Old 55+</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cm="1">
        <f t="array" ref="M874">_xlfn.IFS(L874&lt;31, "Adolescent 0-30",L874&lt;=54,"Middle Age 31-54",L874&gt;=55,"Old 55+")</f>
        <v>Middle Age 31-54</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cm="1">
        <f t="array" ref="M875">_xlfn.IFS(L875&lt;31, "Adolescent 0-30",L875&lt;=54,"Middle Age 31-54",L875&gt;=55,"Old 55+")</f>
        <v>Middle Age 31-54</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cm="1">
        <f t="array" ref="M876">_xlfn.IFS(L876&lt;31, "Adolescent 0-30",L876&lt;=54,"Middle Age 31-54",L876&gt;=55,"Old 55+")</f>
        <v>Middle Age 31-54</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cm="1">
        <f t="array" ref="M877">_xlfn.IFS(L877&lt;31, "Adolescent 0-30",L877&lt;=54,"Middle Age 31-54",L877&gt;=55,"Old 55+")</f>
        <v>Middle Age 31-54</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cm="1">
        <f t="array" ref="M878">_xlfn.IFS(L878&lt;31, "Adolescent 0-30",L878&lt;=54,"Middle Age 31-54",L878&gt;=55,"Old 55+")</f>
        <v>Adolescent 0-30</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cm="1">
        <f t="array" ref="M879">_xlfn.IFS(L879&lt;31, "Adolescent 0-30",L879&lt;=54,"Middle Age 31-54",L879&gt;=55,"Old 55+")</f>
        <v>Old 55+</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cm="1">
        <f t="array" ref="M880">_xlfn.IFS(L880&lt;31, "Adolescent 0-30",L880&lt;=54,"Middle Age 31-54",L880&gt;=55,"Old 55+")</f>
        <v>Old 55+</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cm="1">
        <f t="array" ref="M881">_xlfn.IFS(L881&lt;31, "Adolescent 0-30",L881&lt;=54,"Middle Age 31-54",L881&gt;=55,"Old 55+")</f>
        <v>Middle Age 31-54</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cm="1">
        <f t="array" ref="M882">_xlfn.IFS(L882&lt;31, "Adolescent 0-30",L882&lt;=54,"Middle Age 31-54",L882&gt;=55,"Old 55+")</f>
        <v>Middle Age 31-54</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cm="1">
        <f t="array" ref="M883">_xlfn.IFS(L883&lt;31, "Adolescent 0-30",L883&lt;=54,"Middle Age 31-54",L883&gt;=55,"Old 55+")</f>
        <v>Old 55+</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cm="1">
        <f t="array" ref="M884">_xlfn.IFS(L884&lt;31, "Adolescent 0-30",L884&lt;=54,"Middle Age 31-54",L884&gt;=55,"Old 55+")</f>
        <v>Middle Age 31-54</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cm="1">
        <f t="array" ref="M885">_xlfn.IFS(L885&lt;31, "Adolescent 0-30",L885&lt;=54,"Middle Age 31-54",L885&gt;=55,"Old 55+")</f>
        <v>Middle Age 31-54</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cm="1">
        <f t="array" ref="M886">_xlfn.IFS(L886&lt;31, "Adolescent 0-30",L886&lt;=54,"Middle Age 31-54",L886&gt;=55,"Old 55+")</f>
        <v>Old 55+</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cm="1">
        <f t="array" ref="M887">_xlfn.IFS(L887&lt;31, "Adolescent 0-30",L887&lt;=54,"Middle Age 31-54",L887&gt;=55,"Old 55+")</f>
        <v>Middle Age 31-54</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cm="1">
        <f t="array" ref="M888">_xlfn.IFS(L888&lt;31, "Adolescent 0-30",L888&lt;=54,"Middle Age 31-54",L888&gt;=55,"Old 55+")</f>
        <v>Middle Age 31-54</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cm="1">
        <f t="array" ref="M889">_xlfn.IFS(L889&lt;31, "Adolescent 0-30",L889&lt;=54,"Middle Age 31-54",L889&gt;=55,"Old 55+")</f>
        <v>Middle Age 31-54</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cm="1">
        <f t="array" ref="M890">_xlfn.IFS(L890&lt;31, "Adolescent 0-30",L890&lt;=54,"Middle Age 31-54",L890&gt;=55,"Old 55+")</f>
        <v>Middle Age 31-54</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cm="1">
        <f t="array" ref="M891">_xlfn.IFS(L891&lt;31, "Adolescent 0-30",L891&lt;=54,"Middle Age 31-54",L891&gt;=55,"Old 55+")</f>
        <v>Middle Age 31-54</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cm="1">
        <f t="array" ref="M892">_xlfn.IFS(L892&lt;31, "Adolescent 0-30",L892&lt;=54,"Middle Age 31-54",L892&gt;=55,"Old 55+")</f>
        <v>Middle Age 31-54</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cm="1">
        <f t="array" ref="M893">_xlfn.IFS(L893&lt;31, "Adolescent 0-30",L893&lt;=54,"Middle Age 31-54",L893&gt;=55,"Old 55+")</f>
        <v>Old 55+</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cm="1">
        <f t="array" ref="M894">_xlfn.IFS(L894&lt;31, "Adolescent 0-30",L894&lt;=54,"Middle Age 31-54",L894&gt;=55,"Old 55+")</f>
        <v>Middle Age 31-54</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cm="1">
        <f t="array" ref="M895">_xlfn.IFS(L895&lt;31, "Adolescent 0-30",L895&lt;=54,"Middle Age 31-54",L895&gt;=55,"Old 55+")</f>
        <v>Middle Age 31-54</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cm="1">
        <f t="array" ref="M896">_xlfn.IFS(L896&lt;31, "Adolescent 0-30",L896&lt;=54,"Middle Age 31-54",L896&gt;=55,"Old 55+")</f>
        <v>Middle Age 31-54</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cm="1">
        <f t="array" ref="M897">_xlfn.IFS(L897&lt;31, "Adolescent 0-30",L897&lt;=54,"Middle Age 31-54",L897&gt;=55,"Old 55+")</f>
        <v>Old 55+</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cm="1">
        <f t="array" ref="M898">_xlfn.IFS(L898&lt;31, "Adolescent 0-30",L898&lt;=54,"Middle Age 31-54",L898&gt;=55,"Old 55+")</f>
        <v>Middle Age 31-54</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cm="1">
        <f t="array" ref="M899">_xlfn.IFS(L899&lt;31, "Adolescent 0-30",L899&lt;=54,"Middle Age 31-54",L899&gt;=55,"Old 55+")</f>
        <v>Adolescent 0-30</v>
      </c>
      <c r="N899" t="s">
        <v>18</v>
      </c>
    </row>
    <row r="900" spans="1:14" x14ac:dyDescent="0.2">
      <c r="A900">
        <v>18066</v>
      </c>
      <c r="B900" t="s">
        <v>37</v>
      </c>
      <c r="C900" t="s">
        <v>38</v>
      </c>
      <c r="D900" s="3">
        <v>70000</v>
      </c>
      <c r="E900">
        <v>5</v>
      </c>
      <c r="F900" t="s">
        <v>13</v>
      </c>
      <c r="G900" t="s">
        <v>28</v>
      </c>
      <c r="H900" t="s">
        <v>15</v>
      </c>
      <c r="I900">
        <v>3</v>
      </c>
      <c r="J900" t="s">
        <v>47</v>
      </c>
      <c r="K900" t="s">
        <v>32</v>
      </c>
      <c r="L900">
        <v>60</v>
      </c>
      <c r="M900" t="str" cm="1">
        <f t="array" ref="M900">_xlfn.IFS(L900&lt;31, "Adolescent 0-30",L900&lt;=54,"Middle Age 31-54",L900&gt;=55,"Old 55+")</f>
        <v>Old 55+</v>
      </c>
      <c r="N900" t="s">
        <v>15</v>
      </c>
    </row>
    <row r="901" spans="1:14" x14ac:dyDescent="0.2">
      <c r="A901">
        <v>28192</v>
      </c>
      <c r="B901" t="s">
        <v>36</v>
      </c>
      <c r="C901" t="s">
        <v>39</v>
      </c>
      <c r="D901" s="3">
        <v>70000</v>
      </c>
      <c r="E901">
        <v>5</v>
      </c>
      <c r="F901" t="s">
        <v>31</v>
      </c>
      <c r="G901" t="s">
        <v>21</v>
      </c>
      <c r="H901" t="s">
        <v>15</v>
      </c>
      <c r="I901">
        <v>3</v>
      </c>
      <c r="J901" t="s">
        <v>47</v>
      </c>
      <c r="K901" t="s">
        <v>32</v>
      </c>
      <c r="L901">
        <v>46</v>
      </c>
      <c r="M901" t="str" cm="1">
        <f t="array" ref="M901">_xlfn.IFS(L901&lt;31, "Adolescent 0-30",L901&lt;=54,"Middle Age 31-54",L901&gt;=55,"Old 55+")</f>
        <v>Middle Age 31-54</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cm="1">
        <f t="array" ref="M902">_xlfn.IFS(L902&lt;31, "Adolescent 0-30",L902&lt;=54,"Middle Age 31-54",L902&gt;=55,"Old 55+")</f>
        <v>Middle Age 31-54</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cm="1">
        <f t="array" ref="M903">_xlfn.IFS(L903&lt;31, "Adolescent 0-30",L903&lt;=54,"Middle Age 31-54",L903&gt;=55,"Old 55+")</f>
        <v>Middle Age 31-54</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cm="1">
        <f t="array" ref="M904">_xlfn.IFS(L904&lt;31, "Adolescent 0-30",L904&lt;=54,"Middle Age 31-54",L904&gt;=55,"Old 55+")</f>
        <v>Middle Age 31-54</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cm="1">
        <f t="array" ref="M905">_xlfn.IFS(L905&lt;31, "Adolescent 0-30",L905&lt;=54,"Middle Age 31-54",L905&gt;=55,"Old 55+")</f>
        <v>Old 55+</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cm="1">
        <f t="array" ref="M906">_xlfn.IFS(L906&lt;31, "Adolescent 0-30",L906&lt;=54,"Middle Age 31-54",L906&gt;=55,"Old 55+")</f>
        <v>Middle Age 31-54</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cm="1">
        <f t="array" ref="M907">_xlfn.IFS(L907&lt;31, "Adolescent 0-30",L907&lt;=54,"Middle Age 31-54",L907&gt;=55,"Old 55+")</f>
        <v>Middle Age 31-54</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cm="1">
        <f t="array" ref="M908">_xlfn.IFS(L908&lt;31, "Adolescent 0-30",L908&lt;=54,"Middle Age 31-54",L908&gt;=55,"Old 55+")</f>
        <v>Middle Age 31-54</v>
      </c>
      <c r="N908" t="s">
        <v>15</v>
      </c>
    </row>
    <row r="909" spans="1:14" x14ac:dyDescent="0.2">
      <c r="A909">
        <v>19747</v>
      </c>
      <c r="B909" t="s">
        <v>36</v>
      </c>
      <c r="C909" t="s">
        <v>38</v>
      </c>
      <c r="D909" s="3">
        <v>50000</v>
      </c>
      <c r="E909">
        <v>4</v>
      </c>
      <c r="F909" t="s">
        <v>13</v>
      </c>
      <c r="G909" t="s">
        <v>28</v>
      </c>
      <c r="H909" t="s">
        <v>15</v>
      </c>
      <c r="I909">
        <v>2</v>
      </c>
      <c r="J909" t="s">
        <v>47</v>
      </c>
      <c r="K909" t="s">
        <v>32</v>
      </c>
      <c r="L909">
        <v>63</v>
      </c>
      <c r="M909" t="str" cm="1">
        <f t="array" ref="M909">_xlfn.IFS(L909&lt;31, "Adolescent 0-30",L909&lt;=54,"Middle Age 31-54",L909&gt;=55,"Old 55+")</f>
        <v>Old 55+</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cm="1">
        <f t="array" ref="M910">_xlfn.IFS(L910&lt;31, "Adolescent 0-30",L910&lt;=54,"Middle Age 31-54",L910&gt;=55,"Old 55+")</f>
        <v>Middle Age 31-54</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cm="1">
        <f t="array" ref="M911">_xlfn.IFS(L911&lt;31, "Adolescent 0-30",L911&lt;=54,"Middle Age 31-54",L911&gt;=55,"Old 55+")</f>
        <v>Middle Age 31-54</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cm="1">
        <f t="array" ref="M912">_xlfn.IFS(L912&lt;31, "Adolescent 0-30",L912&lt;=54,"Middle Age 31-54",L912&gt;=55,"Old 55+")</f>
        <v>Middle Age 31-54</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cm="1">
        <f t="array" ref="M913">_xlfn.IFS(L913&lt;31, "Adolescent 0-30",L913&lt;=54,"Middle Age 31-54",L913&gt;=55,"Old 55+")</f>
        <v>Old 55+</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cm="1">
        <f t="array" ref="M914">_xlfn.IFS(L914&lt;31, "Adolescent 0-30",L914&lt;=54,"Middle Age 31-54",L914&gt;=55,"Old 55+")</f>
        <v>Middle Age 31-54</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cm="1">
        <f t="array" ref="M915">_xlfn.IFS(L915&lt;31, "Adolescent 0-30",L915&lt;=54,"Middle Age 31-54",L915&gt;=55,"Old 55+")</f>
        <v>Middle Age 31-54</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cm="1">
        <f t="array" ref="M916">_xlfn.IFS(L916&lt;31, "Adolescent 0-30",L916&lt;=54,"Middle Age 31-54",L916&gt;=55,"Old 55+")</f>
        <v>Middle Age 31-54</v>
      </c>
      <c r="N916" t="s">
        <v>18</v>
      </c>
    </row>
    <row r="917" spans="1:14" x14ac:dyDescent="0.2">
      <c r="A917">
        <v>21752</v>
      </c>
      <c r="B917" t="s">
        <v>36</v>
      </c>
      <c r="C917" t="s">
        <v>38</v>
      </c>
      <c r="D917" s="3">
        <v>60000</v>
      </c>
      <c r="E917">
        <v>3</v>
      </c>
      <c r="F917" t="s">
        <v>31</v>
      </c>
      <c r="G917" t="s">
        <v>28</v>
      </c>
      <c r="H917" t="s">
        <v>15</v>
      </c>
      <c r="I917">
        <v>2</v>
      </c>
      <c r="J917" t="s">
        <v>47</v>
      </c>
      <c r="K917" t="s">
        <v>32</v>
      </c>
      <c r="L917">
        <v>64</v>
      </c>
      <c r="M917" t="str" cm="1">
        <f t="array" ref="M917">_xlfn.IFS(L917&lt;31, "Adolescent 0-30",L917&lt;=54,"Middle Age 31-54",L917&gt;=55,"Old 55+")</f>
        <v>Old 55+</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cm="1">
        <f t="array" ref="M918">_xlfn.IFS(L918&lt;31, "Adolescent 0-30",L918&lt;=54,"Middle Age 31-54",L918&gt;=55,"Old 55+")</f>
        <v>Middle Age 31-54</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cm="1">
        <f t="array" ref="M919">_xlfn.IFS(L919&lt;31, "Adolescent 0-30",L919&lt;=54,"Middle Age 31-54",L919&gt;=55,"Old 55+")</f>
        <v>Middle Age 31-54</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cm="1">
        <f t="array" ref="M920">_xlfn.IFS(L920&lt;31, "Adolescent 0-30",L920&lt;=54,"Middle Age 31-54",L920&gt;=55,"Old 55+")</f>
        <v>Middle Age 31-54</v>
      </c>
      <c r="N920" t="s">
        <v>15</v>
      </c>
    </row>
    <row r="921" spans="1:14" x14ac:dyDescent="0.2">
      <c r="A921">
        <v>21451</v>
      </c>
      <c r="B921" t="s">
        <v>36</v>
      </c>
      <c r="C921" t="s">
        <v>39</v>
      </c>
      <c r="D921" s="3">
        <v>40000</v>
      </c>
      <c r="E921">
        <v>4</v>
      </c>
      <c r="F921" t="s">
        <v>27</v>
      </c>
      <c r="G921" t="s">
        <v>21</v>
      </c>
      <c r="H921" t="s">
        <v>15</v>
      </c>
      <c r="I921">
        <v>2</v>
      </c>
      <c r="J921" t="s">
        <v>47</v>
      </c>
      <c r="K921" t="s">
        <v>32</v>
      </c>
      <c r="L921">
        <v>61</v>
      </c>
      <c r="M921" t="str" cm="1">
        <f t="array" ref="M921">_xlfn.IFS(L921&lt;31, "Adolescent 0-30",L921&lt;=54,"Middle Age 31-54",L921&gt;=55,"Old 55+")</f>
        <v>Old 55+</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cm="1">
        <f t="array" ref="M922">_xlfn.IFS(L922&lt;31, "Adolescent 0-30",L922&lt;=54,"Middle Age 31-54",L922&gt;=55,"Old 55+")</f>
        <v>Middle Age 31-54</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cm="1">
        <f t="array" ref="M923">_xlfn.IFS(L923&lt;31, "Adolescent 0-30",L923&lt;=54,"Middle Age 31-54",L923&gt;=55,"Old 55+")</f>
        <v>Middle Age 31-54</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cm="1">
        <f t="array" ref="M924">_xlfn.IFS(L924&lt;31, "Adolescent 0-30",L924&lt;=54,"Middle Age 31-54",L924&gt;=55,"Old 55+")</f>
        <v>Middle Age 31-54</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cm="1">
        <f t="array" ref="M925">_xlfn.IFS(L925&lt;31, "Adolescent 0-30",L925&lt;=54,"Middle Age 31-54",L925&gt;=55,"Old 55+")</f>
        <v>Middle Age 31-54</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cm="1">
        <f t="array" ref="M926">_xlfn.IFS(L926&lt;31, "Adolescent 0-30",L926&lt;=54,"Middle Age 31-54",L926&gt;=55,"Old 55+")</f>
        <v>Middle Age 31-54</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cm="1">
        <f t="array" ref="M927">_xlfn.IFS(L927&lt;31, "Adolescent 0-30",L927&lt;=54,"Middle Age 31-54",L927&gt;=55,"Old 55+")</f>
        <v>Middle Age 31-54</v>
      </c>
      <c r="N927" t="s">
        <v>15</v>
      </c>
    </row>
    <row r="928" spans="1:14" x14ac:dyDescent="0.2">
      <c r="A928">
        <v>26495</v>
      </c>
      <c r="B928" t="s">
        <v>37</v>
      </c>
      <c r="C928" t="s">
        <v>39</v>
      </c>
      <c r="D928" s="3">
        <v>40000</v>
      </c>
      <c r="E928">
        <v>2</v>
      </c>
      <c r="F928" t="s">
        <v>27</v>
      </c>
      <c r="G928" t="s">
        <v>21</v>
      </c>
      <c r="H928" t="s">
        <v>15</v>
      </c>
      <c r="I928">
        <v>2</v>
      </c>
      <c r="J928" t="s">
        <v>47</v>
      </c>
      <c r="K928" t="s">
        <v>32</v>
      </c>
      <c r="L928">
        <v>57</v>
      </c>
      <c r="M928" t="str" cm="1">
        <f t="array" ref="M928">_xlfn.IFS(L928&lt;31, "Adolescent 0-30",L928&lt;=54,"Middle Age 31-54",L928&gt;=55,"Old 55+")</f>
        <v>Old 55+</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cm="1">
        <f t="array" ref="M929">_xlfn.IFS(L929&lt;31, "Adolescent 0-30",L929&lt;=54,"Middle Age 31-54",L929&gt;=55,"Old 55+")</f>
        <v>Middle Age 31-54</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cm="1">
        <f t="array" ref="M930">_xlfn.IFS(L930&lt;31, "Adolescent 0-30",L930&lt;=54,"Middle Age 31-54",L930&gt;=55,"Old 55+")</f>
        <v>Middle Age 31-54</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cm="1">
        <f t="array" ref="M931">_xlfn.IFS(L931&lt;31, "Adolescent 0-30",L931&lt;=54,"Middle Age 31-54",L931&gt;=55,"Old 55+")</f>
        <v>Middle Age 31-54</v>
      </c>
      <c r="N931" t="s">
        <v>18</v>
      </c>
    </row>
    <row r="932" spans="1:14" x14ac:dyDescent="0.2">
      <c r="A932">
        <v>19543</v>
      </c>
      <c r="B932" t="s">
        <v>36</v>
      </c>
      <c r="C932" t="s">
        <v>38</v>
      </c>
      <c r="D932" s="3">
        <v>70000</v>
      </c>
      <c r="E932">
        <v>5</v>
      </c>
      <c r="F932" t="s">
        <v>31</v>
      </c>
      <c r="G932" t="s">
        <v>21</v>
      </c>
      <c r="H932" t="s">
        <v>18</v>
      </c>
      <c r="I932">
        <v>3</v>
      </c>
      <c r="J932" t="s">
        <v>47</v>
      </c>
      <c r="K932" t="s">
        <v>32</v>
      </c>
      <c r="L932">
        <v>47</v>
      </c>
      <c r="M932" t="str" cm="1">
        <f t="array" ref="M932">_xlfn.IFS(L932&lt;31, "Adolescent 0-30",L932&lt;=54,"Middle Age 31-54",L932&gt;=55,"Old 55+")</f>
        <v>Middle Age 31-54</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cm="1">
        <f t="array" ref="M933">_xlfn.IFS(L933&lt;31, "Adolescent 0-30",L933&lt;=54,"Middle Age 31-54",L933&gt;=55,"Old 55+")</f>
        <v>Middle Age 31-54</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cm="1">
        <f t="array" ref="M934">_xlfn.IFS(L934&lt;31, "Adolescent 0-30",L934&lt;=54,"Middle Age 31-54",L934&gt;=55,"Old 55+")</f>
        <v>Adolescent 0-30</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cm="1">
        <f t="array" ref="M935">_xlfn.IFS(L935&lt;31, "Adolescent 0-30",L935&lt;=54,"Middle Age 31-54",L935&gt;=55,"Old 55+")</f>
        <v>Adolescent 0-30</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cm="1">
        <f t="array" ref="M936">_xlfn.IFS(L936&lt;31, "Adolescent 0-30",L936&lt;=54,"Middle Age 31-54",L936&gt;=55,"Old 55+")</f>
        <v>Old 55+</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cm="1">
        <f t="array" ref="M937">_xlfn.IFS(L937&lt;31, "Adolescent 0-30",L937&lt;=54,"Middle Age 31-54",L937&gt;=55,"Old 55+")</f>
        <v>Middle Age 31-54</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cm="1">
        <f t="array" ref="M938">_xlfn.IFS(L938&lt;31, "Adolescent 0-30",L938&lt;=54,"Middle Age 31-54",L938&gt;=55,"Old 55+")</f>
        <v>Old 55+</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cm="1">
        <f t="array" ref="M939">_xlfn.IFS(L939&lt;31, "Adolescent 0-30",L939&lt;=54,"Middle Age 31-54",L939&gt;=55,"Old 55+")</f>
        <v>Middle Age 31-54</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cm="1">
        <f t="array" ref="M940">_xlfn.IFS(L940&lt;31, "Adolescent 0-30",L940&lt;=54,"Middle Age 31-54",L940&gt;=55,"Old 55+")</f>
        <v>Adolescent 0-30</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cm="1">
        <f t="array" ref="M941">_xlfn.IFS(L941&lt;31, "Adolescent 0-30",L941&lt;=54,"Middle Age 31-54",L941&gt;=55,"Old 55+")</f>
        <v>Middle Age 31-54</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cm="1">
        <f t="array" ref="M942">_xlfn.IFS(L942&lt;31, "Adolescent 0-30",L942&lt;=54,"Middle Age 31-54",L942&gt;=55,"Old 55+")</f>
        <v>Middle Age 31-54</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cm="1">
        <f t="array" ref="M943">_xlfn.IFS(L943&lt;31, "Adolescent 0-30",L943&lt;=54,"Middle Age 31-54",L943&gt;=55,"Old 55+")</f>
        <v>Middle Age 31-54</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cm="1">
        <f t="array" ref="M944">_xlfn.IFS(L944&lt;31, "Adolescent 0-30",L944&lt;=54,"Middle Age 31-54",L944&gt;=55,"Old 55+")</f>
        <v>Middle Age 31-54</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cm="1">
        <f t="array" ref="M945">_xlfn.IFS(L945&lt;31, "Adolescent 0-30",L945&lt;=54,"Middle Age 31-54",L945&gt;=55,"Old 55+")</f>
        <v>Middle Age 31-54</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cm="1">
        <f t="array" ref="M946">_xlfn.IFS(L946&lt;31, "Adolescent 0-30",L946&lt;=54,"Middle Age 31-54",L946&gt;=55,"Old 55+")</f>
        <v>Middle Age 31-54</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cm="1">
        <f t="array" ref="M947">_xlfn.IFS(L947&lt;31, "Adolescent 0-30",L947&lt;=54,"Middle Age 31-54",L947&gt;=55,"Old 55+")</f>
        <v>Middle Age 31-54</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cm="1">
        <f t="array" ref="M948">_xlfn.IFS(L948&lt;31, "Adolescent 0-30",L948&lt;=54,"Middle Age 31-54",L948&gt;=55,"Old 55+")</f>
        <v>Old 55+</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cm="1">
        <f t="array" ref="M949">_xlfn.IFS(L949&lt;31, "Adolescent 0-30",L949&lt;=54,"Middle Age 31-54",L949&gt;=55,"Old 55+")</f>
        <v>Middle Age 31-54</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cm="1">
        <f t="array" ref="M950">_xlfn.IFS(L950&lt;31, "Adolescent 0-30",L950&lt;=54,"Middle Age 31-54",L950&gt;=55,"Old 55+")</f>
        <v>Middle Age 31-54</v>
      </c>
      <c r="N950" t="s">
        <v>18</v>
      </c>
    </row>
    <row r="951" spans="1:14" x14ac:dyDescent="0.2">
      <c r="A951">
        <v>28056</v>
      </c>
      <c r="B951" t="s">
        <v>36</v>
      </c>
      <c r="C951" t="s">
        <v>38</v>
      </c>
      <c r="D951" s="3">
        <v>70000</v>
      </c>
      <c r="E951">
        <v>2</v>
      </c>
      <c r="F951" t="s">
        <v>29</v>
      </c>
      <c r="G951" t="s">
        <v>14</v>
      </c>
      <c r="H951" t="s">
        <v>15</v>
      </c>
      <c r="I951">
        <v>2</v>
      </c>
      <c r="J951" t="s">
        <v>47</v>
      </c>
      <c r="K951" t="s">
        <v>32</v>
      </c>
      <c r="L951">
        <v>53</v>
      </c>
      <c r="M951" t="str" cm="1">
        <f t="array" ref="M951">_xlfn.IFS(L951&lt;31, "Adolescent 0-30",L951&lt;=54,"Middle Age 31-54",L951&gt;=55,"Old 55+")</f>
        <v>Middle Age 31-54</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cm="1">
        <f t="array" ref="M952">_xlfn.IFS(L952&lt;31, "Adolescent 0-30",L952&lt;=54,"Middle Age 31-54",L952&gt;=55,"Old 55+")</f>
        <v>Middle Age 31-54</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cm="1">
        <f t="array" ref="M953">_xlfn.IFS(L953&lt;31, "Adolescent 0-30",L953&lt;=54,"Middle Age 31-54",L953&gt;=55,"Old 55+")</f>
        <v>Middle Age 31-54</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cm="1">
        <f t="array" ref="M954">_xlfn.IFS(L954&lt;31, "Adolescent 0-30",L954&lt;=54,"Middle Age 31-54",L954&gt;=55,"Old 55+")</f>
        <v>Old 55+</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cm="1">
        <f t="array" ref="M955">_xlfn.IFS(L955&lt;31, "Adolescent 0-30",L955&lt;=54,"Middle Age 31-54",L955&gt;=55,"Old 55+")</f>
        <v>Adolescent 0-30</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cm="1">
        <f t="array" ref="M956">_xlfn.IFS(L956&lt;31, "Adolescent 0-30",L956&lt;=54,"Middle Age 31-54",L956&gt;=55,"Old 55+")</f>
        <v>Middle Age 31-54</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cm="1">
        <f t="array" ref="M957">_xlfn.IFS(L957&lt;31, "Adolescent 0-30",L957&lt;=54,"Middle Age 31-54",L957&gt;=55,"Old 55+")</f>
        <v>Middle Age 31-54</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cm="1">
        <f t="array" ref="M958">_xlfn.IFS(L958&lt;31, "Adolescent 0-30",L958&lt;=54,"Middle Age 31-54",L958&gt;=55,"Old 55+")</f>
        <v>Middle Age 31-54</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cm="1">
        <f t="array" ref="M959">_xlfn.IFS(L959&lt;31, "Adolescent 0-30",L959&lt;=54,"Middle Age 31-54",L959&gt;=55,"Old 55+")</f>
        <v>Adolescent 0-30</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cm="1">
        <f t="array" ref="M960">_xlfn.IFS(L960&lt;31, "Adolescent 0-30",L960&lt;=54,"Middle Age 31-54",L960&gt;=55,"Old 55+")</f>
        <v>Middle Age 31-54</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cm="1">
        <f t="array" ref="M961">_xlfn.IFS(L961&lt;31, "Adolescent 0-30",L961&lt;=54,"Middle Age 31-54",L961&gt;=55,"Old 55+")</f>
        <v>Middle Age 31-54</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cm="1">
        <f t="array" ref="M962">_xlfn.IFS(L962&lt;31, "Adolescent 0-30",L962&lt;=54,"Middle Age 31-54",L962&gt;=55,"Old 55+")</f>
        <v>Middle Age 31-54</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cm="1">
        <f t="array" ref="M963">_xlfn.IFS(L963&lt;31, "Adolescent 0-30",L963&lt;=54,"Middle Age 31-54",L963&gt;=55,"Old 55+")</f>
        <v>Old 55+</v>
      </c>
      <c r="N963" t="s">
        <v>18</v>
      </c>
    </row>
    <row r="964" spans="1:14" x14ac:dyDescent="0.2">
      <c r="A964">
        <v>16813</v>
      </c>
      <c r="B964" t="s">
        <v>36</v>
      </c>
      <c r="C964" t="s">
        <v>38</v>
      </c>
      <c r="D964" s="3">
        <v>60000</v>
      </c>
      <c r="E964">
        <v>2</v>
      </c>
      <c r="F964" t="s">
        <v>19</v>
      </c>
      <c r="G964" t="s">
        <v>21</v>
      </c>
      <c r="H964" t="s">
        <v>15</v>
      </c>
      <c r="I964">
        <v>2</v>
      </c>
      <c r="J964" t="s">
        <v>47</v>
      </c>
      <c r="K964" t="s">
        <v>32</v>
      </c>
      <c r="L964">
        <v>55</v>
      </c>
      <c r="M964" t="str" cm="1">
        <f t="array" ref="M964">_xlfn.IFS(L964&lt;31, "Adolescent 0-30",L964&lt;=54,"Middle Age 31-54",L964&gt;=55,"Old 55+")</f>
        <v>Old 55+</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cm="1">
        <f t="array" ref="M965">_xlfn.IFS(L965&lt;31, "Adolescent 0-30",L965&lt;=54,"Middle Age 31-54",L965&gt;=55,"Old 55+")</f>
        <v>Old 55+</v>
      </c>
      <c r="N965" t="s">
        <v>15</v>
      </c>
    </row>
    <row r="966" spans="1:14" x14ac:dyDescent="0.2">
      <c r="A966">
        <v>27434</v>
      </c>
      <c r="B966" t="s">
        <v>37</v>
      </c>
      <c r="C966" t="s">
        <v>38</v>
      </c>
      <c r="D966" s="3">
        <v>70000</v>
      </c>
      <c r="E966">
        <v>4</v>
      </c>
      <c r="F966" t="s">
        <v>19</v>
      </c>
      <c r="G966" t="s">
        <v>21</v>
      </c>
      <c r="H966" t="s">
        <v>15</v>
      </c>
      <c r="I966">
        <v>1</v>
      </c>
      <c r="J966" t="s">
        <v>47</v>
      </c>
      <c r="K966" t="s">
        <v>32</v>
      </c>
      <c r="L966">
        <v>56</v>
      </c>
      <c r="M966" t="str" cm="1">
        <f t="array" ref="M966">_xlfn.IFS(L966&lt;31, "Adolescent 0-30",L966&lt;=54,"Middle Age 31-54",L966&gt;=55,"Old 55+")</f>
        <v>Old 55+</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cm="1">
        <f t="array" ref="M967">_xlfn.IFS(L967&lt;31, "Adolescent 0-30",L967&lt;=54,"Middle Age 31-54",L967&gt;=55,"Old 55+")</f>
        <v>Middle Age 31-54</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cm="1">
        <f t="array" ref="M968">_xlfn.IFS(L968&lt;31, "Adolescent 0-30",L968&lt;=54,"Middle Age 31-54",L968&gt;=55,"Old 55+")</f>
        <v>Middle Age 31-54</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cm="1">
        <f t="array" ref="M969">_xlfn.IFS(L969&lt;31, "Adolescent 0-30",L969&lt;=54,"Middle Age 31-54",L969&gt;=55,"Old 55+")</f>
        <v>Old 55+</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cm="1">
        <f t="array" ref="M970">_xlfn.IFS(L970&lt;31, "Adolescent 0-30",L970&lt;=54,"Middle Age 31-54",L970&gt;=55,"Old 55+")</f>
        <v>Adolescent 0-30</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cm="1">
        <f t="array" ref="M971">_xlfn.IFS(L971&lt;31, "Adolescent 0-30",L971&lt;=54,"Middle Age 31-54",L971&gt;=55,"Old 55+")</f>
        <v>Middle Age 31-54</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cm="1">
        <f t="array" ref="M972">_xlfn.IFS(L972&lt;31, "Adolescent 0-30",L972&lt;=54,"Middle Age 31-54",L972&gt;=55,"Old 55+")</f>
        <v>Middle Age 31-54</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cm="1">
        <f t="array" ref="M973">_xlfn.IFS(L973&lt;31, "Adolescent 0-30",L973&lt;=54,"Middle Age 31-54",L973&gt;=55,"Old 55+")</f>
        <v>Middle Age 31-54</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cm="1">
        <f t="array" ref="M974">_xlfn.IFS(L974&lt;31, "Adolescent 0-30",L974&lt;=54,"Middle Age 31-54",L974&gt;=55,"Old 55+")</f>
        <v>Middle Age 31-54</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cm="1">
        <f t="array" ref="M975">_xlfn.IFS(L975&lt;31, "Adolescent 0-30",L975&lt;=54,"Middle Age 31-54",L975&gt;=55,"Old 55+")</f>
        <v>Middle Age 31-54</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cm="1">
        <f t="array" ref="M976">_xlfn.IFS(L976&lt;31, "Adolescent 0-30",L976&lt;=54,"Middle Age 31-54",L976&gt;=55,"Old 55+")</f>
        <v>Middle Age 31-54</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cm="1">
        <f t="array" ref="M977">_xlfn.IFS(L977&lt;31, "Adolescent 0-30",L977&lt;=54,"Middle Age 31-54",L977&gt;=55,"Old 55+")</f>
        <v>Middle Age 31-54</v>
      </c>
      <c r="N977" t="s">
        <v>15</v>
      </c>
    </row>
    <row r="978" spans="1:14" x14ac:dyDescent="0.2">
      <c r="A978">
        <v>28004</v>
      </c>
      <c r="B978" t="s">
        <v>36</v>
      </c>
      <c r="C978" t="s">
        <v>39</v>
      </c>
      <c r="D978" s="3">
        <v>60000</v>
      </c>
      <c r="E978">
        <v>3</v>
      </c>
      <c r="F978" t="s">
        <v>13</v>
      </c>
      <c r="G978" t="s">
        <v>28</v>
      </c>
      <c r="H978" t="s">
        <v>15</v>
      </c>
      <c r="I978">
        <v>2</v>
      </c>
      <c r="J978" t="s">
        <v>47</v>
      </c>
      <c r="K978" t="s">
        <v>32</v>
      </c>
      <c r="L978">
        <v>66</v>
      </c>
      <c r="M978" t="str" cm="1">
        <f t="array" ref="M978">_xlfn.IFS(L978&lt;31, "Adolescent 0-30",L978&lt;=54,"Middle Age 31-54",L978&gt;=55,"Old 55+")</f>
        <v>Old 55+</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cm="1">
        <f t="array" ref="M979">_xlfn.IFS(L979&lt;31, "Adolescent 0-30",L979&lt;=54,"Middle Age 31-54",L979&gt;=55,"Old 55+")</f>
        <v>Old 55+</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cm="1">
        <f t="array" ref="M980">_xlfn.IFS(L980&lt;31, "Adolescent 0-30",L980&lt;=54,"Middle Age 31-54",L980&gt;=55,"Old 55+")</f>
        <v>Middle Age 31-54</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cm="1">
        <f t="array" ref="M981">_xlfn.IFS(L981&lt;31, "Adolescent 0-30",L981&lt;=54,"Middle Age 31-54",L981&gt;=55,"Old 55+")</f>
        <v>Middle Age 31-54</v>
      </c>
      <c r="N981" t="s">
        <v>18</v>
      </c>
    </row>
    <row r="982" spans="1:14" x14ac:dyDescent="0.2">
      <c r="A982">
        <v>18594</v>
      </c>
      <c r="B982" t="s">
        <v>37</v>
      </c>
      <c r="C982" t="s">
        <v>39</v>
      </c>
      <c r="D982" s="3">
        <v>80000</v>
      </c>
      <c r="E982">
        <v>3</v>
      </c>
      <c r="F982" t="s">
        <v>13</v>
      </c>
      <c r="G982" t="s">
        <v>14</v>
      </c>
      <c r="H982" t="s">
        <v>15</v>
      </c>
      <c r="I982">
        <v>3</v>
      </c>
      <c r="J982" t="s">
        <v>47</v>
      </c>
      <c r="K982" t="s">
        <v>32</v>
      </c>
      <c r="L982">
        <v>40</v>
      </c>
      <c r="M982" t="str" cm="1">
        <f t="array" ref="M982">_xlfn.IFS(L982&lt;31, "Adolescent 0-30",L982&lt;=54,"Middle Age 31-54",L982&gt;=55,"Old 55+")</f>
        <v>Middle Age 31-54</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cm="1">
        <f t="array" ref="M983">_xlfn.IFS(L983&lt;31, "Adolescent 0-30",L983&lt;=54,"Middle Age 31-54",L983&gt;=55,"Old 55+")</f>
        <v>Middle Age 31-54</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cm="1">
        <f t="array" ref="M984">_xlfn.IFS(L984&lt;31, "Adolescent 0-30",L984&lt;=54,"Middle Age 31-54",L984&gt;=55,"Old 55+")</f>
        <v>Middle Age 31-54</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cm="1">
        <f t="array" ref="M985">_xlfn.IFS(L985&lt;31, "Adolescent 0-30",L985&lt;=54,"Middle Age 31-54",L985&gt;=55,"Old 55+")</f>
        <v>Middle Age 31-54</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cm="1">
        <f t="array" ref="M986">_xlfn.IFS(L986&lt;31, "Adolescent 0-30",L986&lt;=54,"Middle Age 31-54",L986&gt;=55,"Old 55+")</f>
        <v>Middle Age 31-54</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cm="1">
        <f t="array" ref="M987">_xlfn.IFS(L987&lt;31, "Adolescent 0-30",L987&lt;=54,"Middle Age 31-54",L987&gt;=55,"Old 55+")</f>
        <v>Middle Age 31-54</v>
      </c>
      <c r="N987" t="s">
        <v>18</v>
      </c>
    </row>
    <row r="988" spans="1:14" x14ac:dyDescent="0.2">
      <c r="A988">
        <v>23704</v>
      </c>
      <c r="B988" t="s">
        <v>37</v>
      </c>
      <c r="C988" t="s">
        <v>38</v>
      </c>
      <c r="D988" s="3">
        <v>40000</v>
      </c>
      <c r="E988">
        <v>5</v>
      </c>
      <c r="F988" t="s">
        <v>27</v>
      </c>
      <c r="G988" t="s">
        <v>21</v>
      </c>
      <c r="H988" t="s">
        <v>15</v>
      </c>
      <c r="I988">
        <v>4</v>
      </c>
      <c r="J988" t="s">
        <v>47</v>
      </c>
      <c r="K988" t="s">
        <v>32</v>
      </c>
      <c r="L988">
        <v>60</v>
      </c>
      <c r="M988" t="str" cm="1">
        <f t="array" ref="M988">_xlfn.IFS(L988&lt;31, "Adolescent 0-30",L988&lt;=54,"Middle Age 31-54",L988&gt;=55,"Old 55+")</f>
        <v>Old 55+</v>
      </c>
      <c r="N988" t="s">
        <v>15</v>
      </c>
    </row>
    <row r="989" spans="1:14" x14ac:dyDescent="0.2">
      <c r="A989">
        <v>28972</v>
      </c>
      <c r="B989" t="s">
        <v>37</v>
      </c>
      <c r="C989" t="s">
        <v>39</v>
      </c>
      <c r="D989" s="3">
        <v>60000</v>
      </c>
      <c r="E989">
        <v>3</v>
      </c>
      <c r="F989" t="s">
        <v>31</v>
      </c>
      <c r="G989" t="s">
        <v>28</v>
      </c>
      <c r="H989" t="s">
        <v>15</v>
      </c>
      <c r="I989">
        <v>2</v>
      </c>
      <c r="J989" t="s">
        <v>47</v>
      </c>
      <c r="K989" t="s">
        <v>32</v>
      </c>
      <c r="L989">
        <v>66</v>
      </c>
      <c r="M989" t="str" cm="1">
        <f t="array" ref="M989">_xlfn.IFS(L989&lt;31, "Adolescent 0-30",L989&lt;=54,"Middle Age 31-54",L989&gt;=55,"Old 55+")</f>
        <v>Old 55+</v>
      </c>
      <c r="N989" t="s">
        <v>18</v>
      </c>
    </row>
    <row r="990" spans="1:14" x14ac:dyDescent="0.2">
      <c r="A990">
        <v>22730</v>
      </c>
      <c r="B990" t="s">
        <v>36</v>
      </c>
      <c r="C990" t="s">
        <v>38</v>
      </c>
      <c r="D990" s="3">
        <v>70000</v>
      </c>
      <c r="E990">
        <v>5</v>
      </c>
      <c r="F990" t="s">
        <v>13</v>
      </c>
      <c r="G990" t="s">
        <v>28</v>
      </c>
      <c r="H990" t="s">
        <v>15</v>
      </c>
      <c r="I990">
        <v>2</v>
      </c>
      <c r="J990" t="s">
        <v>47</v>
      </c>
      <c r="K990" t="s">
        <v>32</v>
      </c>
      <c r="L990">
        <v>63</v>
      </c>
      <c r="M990" t="str" cm="1">
        <f t="array" ref="M990">_xlfn.IFS(L990&lt;31, "Adolescent 0-30",L990&lt;=54,"Middle Age 31-54",L990&gt;=55,"Old 55+")</f>
        <v>Old 55+</v>
      </c>
      <c r="N990" t="s">
        <v>18</v>
      </c>
    </row>
    <row r="991" spans="1:14" x14ac:dyDescent="0.2">
      <c r="A991">
        <v>29134</v>
      </c>
      <c r="B991" t="s">
        <v>36</v>
      </c>
      <c r="C991" t="s">
        <v>38</v>
      </c>
      <c r="D991" s="3">
        <v>60000</v>
      </c>
      <c r="E991">
        <v>4</v>
      </c>
      <c r="F991" t="s">
        <v>13</v>
      </c>
      <c r="G991" t="s">
        <v>14</v>
      </c>
      <c r="H991" t="s">
        <v>18</v>
      </c>
      <c r="I991">
        <v>3</v>
      </c>
      <c r="J991" t="s">
        <v>47</v>
      </c>
      <c r="K991" t="s">
        <v>32</v>
      </c>
      <c r="L991">
        <v>42</v>
      </c>
      <c r="M991" t="str" cm="1">
        <f t="array" ref="M991">_xlfn.IFS(L991&lt;31, "Adolescent 0-30",L991&lt;=54,"Middle Age 31-54",L991&gt;=55,"Old 55+")</f>
        <v>Middle Age 31-54</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cm="1">
        <f t="array" ref="M992">_xlfn.IFS(L992&lt;31, "Adolescent 0-30",L992&lt;=54,"Middle Age 31-54",L992&gt;=55,"Old 55+")</f>
        <v>Adolescent 0-30</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cm="1">
        <f t="array" ref="M993">_xlfn.IFS(L993&lt;31, "Adolescent 0-30",L993&lt;=54,"Middle Age 31-54",L993&gt;=55,"Old 55+")</f>
        <v>Middle Age 31-54</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cm="1">
        <f t="array" ref="M994">_xlfn.IFS(L994&lt;31, "Adolescent 0-30",L994&lt;=54,"Middle Age 31-54",L994&gt;=55,"Old 55+")</f>
        <v>Middle Age 31-54</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cm="1">
        <f t="array" ref="M995">_xlfn.IFS(L995&lt;31, "Adolescent 0-30",L995&lt;=54,"Middle Age 31-54",L995&gt;=55,"Old 55+")</f>
        <v>Middle Age 31-54</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cm="1">
        <f t="array" ref="M996">_xlfn.IFS(L996&lt;31, "Adolescent 0-30",L996&lt;=54,"Middle Age 31-54",L996&gt;=55,"Old 55+")</f>
        <v>Middle Age 31-54</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cm="1">
        <f t="array" ref="M997">_xlfn.IFS(L997&lt;31, "Adolescent 0-30",L997&lt;=54,"Middle Age 31-54",L997&gt;=55,"Old 55+")</f>
        <v>Middle Age 31-54</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cm="1">
        <f t="array" ref="M998">_xlfn.IFS(L998&lt;31, "Adolescent 0-30",L998&lt;=54,"Middle Age 31-54",L998&gt;=55,"Old 55+")</f>
        <v>Middle Age 31-54</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cm="1">
        <f t="array" ref="M999">_xlfn.IFS(L999&lt;31, "Adolescent 0-30",L999&lt;=54,"Middle Age 31-54",L999&gt;=55,"Old 55+")</f>
        <v>Middle Age 31-54</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cm="1">
        <f t="array" ref="M1000">_xlfn.IFS(L1000&lt;31, "Adolescent 0-30",L1000&lt;=54,"Middle Age 31-54",L1000&gt;=55,"Old 55+")</f>
        <v>Middle Age 31-54</v>
      </c>
      <c r="N1000" t="s">
        <v>18</v>
      </c>
    </row>
    <row r="1001" spans="1:14" x14ac:dyDescent="0.2">
      <c r="A1001">
        <v>12121</v>
      </c>
      <c r="B1001" t="s">
        <v>37</v>
      </c>
      <c r="C1001" t="s">
        <v>38</v>
      </c>
      <c r="D1001" s="3">
        <v>60000</v>
      </c>
      <c r="E1001">
        <v>3</v>
      </c>
      <c r="F1001" t="s">
        <v>27</v>
      </c>
      <c r="G1001" t="s">
        <v>21</v>
      </c>
      <c r="H1001" t="s">
        <v>15</v>
      </c>
      <c r="I1001">
        <v>2</v>
      </c>
      <c r="J1001" t="s">
        <v>47</v>
      </c>
      <c r="K1001" t="s">
        <v>32</v>
      </c>
      <c r="L1001">
        <v>53</v>
      </c>
      <c r="M1001" t="str" cm="1">
        <f t="array" ref="M1001">_xlfn.IFS(L1001&lt;31, "Adolescent 0-30",L1001&lt;=54,"Middle Age 31-54",L1001&gt;=55,"Old 55+")</f>
        <v>Middle Age 31-54</v>
      </c>
      <c r="N1001" t="s">
        <v>15</v>
      </c>
    </row>
  </sheetData>
  <autoFilter ref="A1:N1001" xr:uid="{953F8CD3-3E63-4A43-8983-22D52591954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1364-779F-134D-94A4-74D65E7D3E48}">
  <dimension ref="E27:H145"/>
  <sheetViews>
    <sheetView topLeftCell="A66" workbookViewId="0">
      <selection activeCell="K21" sqref="K21"/>
    </sheetView>
  </sheetViews>
  <sheetFormatPr baseColWidth="10" defaultRowHeight="15" x14ac:dyDescent="0.2"/>
  <cols>
    <col min="5" max="5" width="19.83203125" bestFit="1" customWidth="1"/>
    <col min="6" max="6" width="14.83203125" bestFit="1" customWidth="1"/>
    <col min="7" max="7" width="4.1640625" bestFit="1" customWidth="1"/>
    <col min="8" max="8" width="10" bestFit="1" customWidth="1"/>
  </cols>
  <sheetData>
    <row r="27" spans="5:8" x14ac:dyDescent="0.2">
      <c r="E27" s="6" t="s">
        <v>45</v>
      </c>
      <c r="F27" s="6" t="s">
        <v>44</v>
      </c>
      <c r="G27" s="7"/>
      <c r="H27" s="7"/>
    </row>
    <row r="28" spans="5:8" x14ac:dyDescent="0.2">
      <c r="E28" s="6" t="s">
        <v>42</v>
      </c>
      <c r="F28" s="7" t="s">
        <v>18</v>
      </c>
      <c r="G28" s="7" t="s">
        <v>15</v>
      </c>
      <c r="H28" s="7" t="s">
        <v>43</v>
      </c>
    </row>
    <row r="29" spans="5:8" x14ac:dyDescent="0.2">
      <c r="E29" s="8" t="s">
        <v>39</v>
      </c>
      <c r="F29" s="7">
        <v>58571.428571428572</v>
      </c>
      <c r="G29" s="7">
        <v>64406.779661016946</v>
      </c>
      <c r="H29" s="7">
        <v>61565.217391304344</v>
      </c>
    </row>
    <row r="30" spans="5:8" x14ac:dyDescent="0.2">
      <c r="E30" s="8" t="s">
        <v>38</v>
      </c>
      <c r="F30" s="7">
        <v>61190.476190476191</v>
      </c>
      <c r="G30" s="7">
        <v>68333.333333333328</v>
      </c>
      <c r="H30" s="7">
        <v>65208.333333333336</v>
      </c>
    </row>
    <row r="31" spans="5:8" x14ac:dyDescent="0.2">
      <c r="E31" s="8" t="s">
        <v>43</v>
      </c>
      <c r="F31" s="7">
        <v>59693.877551020407</v>
      </c>
      <c r="G31" s="7">
        <v>66283.185840707971</v>
      </c>
      <c r="H31" s="7">
        <v>63222.748815165876</v>
      </c>
    </row>
    <row r="47" spans="5:8" x14ac:dyDescent="0.2">
      <c r="E47" s="4" t="s">
        <v>46</v>
      </c>
      <c r="F47" s="4" t="s">
        <v>44</v>
      </c>
    </row>
    <row r="48" spans="5:8" x14ac:dyDescent="0.2">
      <c r="E48" s="4" t="s">
        <v>42</v>
      </c>
      <c r="F48" t="s">
        <v>18</v>
      </c>
      <c r="G48" t="s">
        <v>15</v>
      </c>
      <c r="H48" t="s">
        <v>43</v>
      </c>
    </row>
    <row r="49" spans="5:8" x14ac:dyDescent="0.2">
      <c r="E49" s="5" t="s">
        <v>16</v>
      </c>
      <c r="F49" s="9">
        <v>161</v>
      </c>
      <c r="G49" s="9">
        <v>196</v>
      </c>
      <c r="H49" s="9">
        <v>357</v>
      </c>
    </row>
    <row r="50" spans="5:8" x14ac:dyDescent="0.2">
      <c r="E50" s="5" t="s">
        <v>26</v>
      </c>
      <c r="F50" s="9">
        <v>87</v>
      </c>
      <c r="G50" s="9">
        <v>73</v>
      </c>
      <c r="H50" s="9">
        <v>160</v>
      </c>
    </row>
    <row r="51" spans="5:8" x14ac:dyDescent="0.2">
      <c r="E51" s="5" t="s">
        <v>22</v>
      </c>
      <c r="F51" s="9">
        <v>66</v>
      </c>
      <c r="G51" s="9">
        <v>91</v>
      </c>
      <c r="H51" s="9">
        <v>157</v>
      </c>
    </row>
    <row r="52" spans="5:8" x14ac:dyDescent="0.2">
      <c r="E52" s="5" t="s">
        <v>23</v>
      </c>
      <c r="F52" s="9">
        <v>108</v>
      </c>
      <c r="G52" s="9">
        <v>74</v>
      </c>
      <c r="H52" s="9">
        <v>182</v>
      </c>
    </row>
    <row r="53" spans="5:8" x14ac:dyDescent="0.2">
      <c r="E53" s="5" t="s">
        <v>47</v>
      </c>
      <c r="F53" s="9">
        <v>72</v>
      </c>
      <c r="G53" s="9">
        <v>30</v>
      </c>
      <c r="H53" s="9">
        <v>102</v>
      </c>
    </row>
    <row r="54" spans="5:8" x14ac:dyDescent="0.2">
      <c r="E54" s="5" t="s">
        <v>43</v>
      </c>
      <c r="F54" s="9">
        <v>494</v>
      </c>
      <c r="G54" s="9">
        <v>464</v>
      </c>
      <c r="H54" s="9">
        <v>958</v>
      </c>
    </row>
    <row r="76" spans="5:8" x14ac:dyDescent="0.2">
      <c r="E76" s="4" t="s">
        <v>46</v>
      </c>
      <c r="F76" s="4" t="s">
        <v>44</v>
      </c>
    </row>
    <row r="77" spans="5:8" x14ac:dyDescent="0.2">
      <c r="E77" s="4" t="s">
        <v>42</v>
      </c>
      <c r="F77" t="s">
        <v>18</v>
      </c>
      <c r="G77" t="s">
        <v>15</v>
      </c>
      <c r="H77" t="s">
        <v>43</v>
      </c>
    </row>
    <row r="78" spans="5:8" x14ac:dyDescent="0.2">
      <c r="E78" s="5" t="s">
        <v>48</v>
      </c>
      <c r="F78" s="9">
        <v>56</v>
      </c>
      <c r="G78" s="9">
        <v>89</v>
      </c>
      <c r="H78" s="9">
        <v>145</v>
      </c>
    </row>
    <row r="79" spans="5:8" x14ac:dyDescent="0.2">
      <c r="E79" s="5" t="s">
        <v>49</v>
      </c>
      <c r="F79" s="9">
        <v>16</v>
      </c>
      <c r="G79" s="9">
        <v>17</v>
      </c>
      <c r="H79" s="9">
        <v>33</v>
      </c>
    </row>
    <row r="80" spans="5:8" x14ac:dyDescent="0.2">
      <c r="E80" s="5" t="s">
        <v>50</v>
      </c>
      <c r="F80" s="9">
        <v>26</v>
      </c>
      <c r="G80" s="9">
        <v>7</v>
      </c>
      <c r="H80" s="9">
        <v>33</v>
      </c>
    </row>
    <row r="81" spans="5:8" x14ac:dyDescent="0.2">
      <c r="E81" s="5" t="s">
        <v>43</v>
      </c>
      <c r="F81" s="9">
        <v>98</v>
      </c>
      <c r="G81" s="9">
        <v>113</v>
      </c>
      <c r="H81" s="9">
        <v>211</v>
      </c>
    </row>
    <row r="98" spans="5:8" x14ac:dyDescent="0.2">
      <c r="E98" s="4" t="s">
        <v>46</v>
      </c>
      <c r="F98" s="4" t="s">
        <v>44</v>
      </c>
    </row>
    <row r="99" spans="5:8" x14ac:dyDescent="0.2">
      <c r="E99" s="4" t="s">
        <v>42</v>
      </c>
      <c r="F99" t="s">
        <v>18</v>
      </c>
      <c r="G99" t="s">
        <v>15</v>
      </c>
      <c r="H99" t="s">
        <v>43</v>
      </c>
    </row>
    <row r="100" spans="5:8" x14ac:dyDescent="0.2">
      <c r="E100" s="5">
        <v>25</v>
      </c>
      <c r="F100" s="9"/>
      <c r="G100" s="9">
        <v>1</v>
      </c>
      <c r="H100" s="9">
        <v>1</v>
      </c>
    </row>
    <row r="101" spans="5:8" x14ac:dyDescent="0.2">
      <c r="E101" s="5">
        <v>26</v>
      </c>
      <c r="F101" s="9">
        <v>5</v>
      </c>
      <c r="G101" s="9"/>
      <c r="H101" s="9">
        <v>5</v>
      </c>
    </row>
    <row r="102" spans="5:8" x14ac:dyDescent="0.2">
      <c r="E102" s="5">
        <v>27</v>
      </c>
      <c r="F102" s="9">
        <v>6</v>
      </c>
      <c r="G102" s="9">
        <v>3</v>
      </c>
      <c r="H102" s="9">
        <v>9</v>
      </c>
    </row>
    <row r="103" spans="5:8" x14ac:dyDescent="0.2">
      <c r="E103" s="5">
        <v>28</v>
      </c>
      <c r="F103" s="9">
        <v>3</v>
      </c>
      <c r="G103" s="9">
        <v>2</v>
      </c>
      <c r="H103" s="9">
        <v>5</v>
      </c>
    </row>
    <row r="104" spans="5:8" x14ac:dyDescent="0.2">
      <c r="E104" s="5">
        <v>29</v>
      </c>
      <c r="F104" s="9">
        <v>3</v>
      </c>
      <c r="G104" s="9"/>
      <c r="H104" s="9">
        <v>3</v>
      </c>
    </row>
    <row r="105" spans="5:8" x14ac:dyDescent="0.2">
      <c r="E105" s="5">
        <v>30</v>
      </c>
      <c r="F105" s="9">
        <v>9</v>
      </c>
      <c r="G105" s="9">
        <v>1</v>
      </c>
      <c r="H105" s="9">
        <v>10</v>
      </c>
    </row>
    <row r="106" spans="5:8" x14ac:dyDescent="0.2">
      <c r="E106" s="5">
        <v>31</v>
      </c>
      <c r="F106" s="9">
        <v>6</v>
      </c>
      <c r="G106" s="9">
        <v>4</v>
      </c>
      <c r="H106" s="9">
        <v>10</v>
      </c>
    </row>
    <row r="107" spans="5:8" x14ac:dyDescent="0.2">
      <c r="E107" s="5">
        <v>32</v>
      </c>
      <c r="F107" s="9">
        <v>2</v>
      </c>
      <c r="G107" s="9">
        <v>2</v>
      </c>
      <c r="H107" s="9">
        <v>4</v>
      </c>
    </row>
    <row r="108" spans="5:8" x14ac:dyDescent="0.2">
      <c r="E108" s="5">
        <v>33</v>
      </c>
      <c r="F108" s="9">
        <v>1</v>
      </c>
      <c r="G108" s="9">
        <v>3</v>
      </c>
      <c r="H108" s="9">
        <v>4</v>
      </c>
    </row>
    <row r="109" spans="5:8" x14ac:dyDescent="0.2">
      <c r="E109" s="5">
        <v>34</v>
      </c>
      <c r="F109" s="9">
        <v>1</v>
      </c>
      <c r="G109" s="9">
        <v>3</v>
      </c>
      <c r="H109" s="9">
        <v>4</v>
      </c>
    </row>
    <row r="110" spans="5:8" x14ac:dyDescent="0.2">
      <c r="E110" s="5">
        <v>35</v>
      </c>
      <c r="F110" s="9">
        <v>1</v>
      </c>
      <c r="G110" s="9">
        <v>4</v>
      </c>
      <c r="H110" s="9">
        <v>5</v>
      </c>
    </row>
    <row r="111" spans="5:8" x14ac:dyDescent="0.2">
      <c r="E111" s="5">
        <v>36</v>
      </c>
      <c r="F111" s="9">
        <v>1</v>
      </c>
      <c r="G111" s="9">
        <v>5</v>
      </c>
      <c r="H111" s="9">
        <v>6</v>
      </c>
    </row>
    <row r="112" spans="5:8" x14ac:dyDescent="0.2">
      <c r="E112" s="5">
        <v>37</v>
      </c>
      <c r="F112" s="9"/>
      <c r="G112" s="9">
        <v>7</v>
      </c>
      <c r="H112" s="9">
        <v>7</v>
      </c>
    </row>
    <row r="113" spans="5:8" x14ac:dyDescent="0.2">
      <c r="E113" s="5">
        <v>38</v>
      </c>
      <c r="F113" s="9">
        <v>2</v>
      </c>
      <c r="G113" s="9">
        <v>10</v>
      </c>
      <c r="H113" s="9">
        <v>12</v>
      </c>
    </row>
    <row r="114" spans="5:8" x14ac:dyDescent="0.2">
      <c r="E114" s="5">
        <v>39</v>
      </c>
      <c r="F114" s="9">
        <v>1</v>
      </c>
      <c r="G114" s="9">
        <v>3</v>
      </c>
      <c r="H114" s="9">
        <v>4</v>
      </c>
    </row>
    <row r="115" spans="5:8" x14ac:dyDescent="0.2">
      <c r="E115" s="5">
        <v>40</v>
      </c>
      <c r="F115" s="9">
        <v>5</v>
      </c>
      <c r="G115" s="9">
        <v>4</v>
      </c>
      <c r="H115" s="9">
        <v>9</v>
      </c>
    </row>
    <row r="116" spans="5:8" x14ac:dyDescent="0.2">
      <c r="E116" s="5">
        <v>41</v>
      </c>
      <c r="F116" s="9"/>
      <c r="G116" s="9">
        <v>6</v>
      </c>
      <c r="H116" s="9">
        <v>6</v>
      </c>
    </row>
    <row r="117" spans="5:8" x14ac:dyDescent="0.2">
      <c r="E117" s="5">
        <v>42</v>
      </c>
      <c r="F117" s="9">
        <v>4</v>
      </c>
      <c r="G117" s="9">
        <v>3</v>
      </c>
      <c r="H117" s="9">
        <v>7</v>
      </c>
    </row>
    <row r="118" spans="5:8" x14ac:dyDescent="0.2">
      <c r="E118" s="5">
        <v>43</v>
      </c>
      <c r="F118" s="9">
        <v>2</v>
      </c>
      <c r="G118" s="9">
        <v>6</v>
      </c>
      <c r="H118" s="9">
        <v>8</v>
      </c>
    </row>
    <row r="119" spans="5:8" x14ac:dyDescent="0.2">
      <c r="E119" s="5">
        <v>44</v>
      </c>
      <c r="F119" s="9">
        <v>6</v>
      </c>
      <c r="G119" s="9">
        <v>2</v>
      </c>
      <c r="H119" s="9">
        <v>8</v>
      </c>
    </row>
    <row r="120" spans="5:8" x14ac:dyDescent="0.2">
      <c r="E120" s="5">
        <v>45</v>
      </c>
      <c r="F120" s="9">
        <v>3</v>
      </c>
      <c r="G120" s="9">
        <v>3</v>
      </c>
      <c r="H120" s="9">
        <v>6</v>
      </c>
    </row>
    <row r="121" spans="5:8" x14ac:dyDescent="0.2">
      <c r="E121" s="5">
        <v>46</v>
      </c>
      <c r="F121" s="9"/>
      <c r="G121" s="9">
        <v>1</v>
      </c>
      <c r="H121" s="9">
        <v>1</v>
      </c>
    </row>
    <row r="122" spans="5:8" x14ac:dyDescent="0.2">
      <c r="E122" s="5">
        <v>47</v>
      </c>
      <c r="F122" s="9">
        <v>5</v>
      </c>
      <c r="G122" s="9">
        <v>6</v>
      </c>
      <c r="H122" s="9">
        <v>11</v>
      </c>
    </row>
    <row r="123" spans="5:8" x14ac:dyDescent="0.2">
      <c r="E123" s="5">
        <v>48</v>
      </c>
      <c r="F123" s="9">
        <v>2</v>
      </c>
      <c r="G123" s="9">
        <v>1</v>
      </c>
      <c r="H123" s="9">
        <v>3</v>
      </c>
    </row>
    <row r="124" spans="5:8" x14ac:dyDescent="0.2">
      <c r="E124" s="5">
        <v>49</v>
      </c>
      <c r="F124" s="9">
        <v>4</v>
      </c>
      <c r="G124" s="9">
        <v>2</v>
      </c>
      <c r="H124" s="9">
        <v>6</v>
      </c>
    </row>
    <row r="125" spans="5:8" x14ac:dyDescent="0.2">
      <c r="E125" s="5">
        <v>50</v>
      </c>
      <c r="F125" s="9">
        <v>4</v>
      </c>
      <c r="G125" s="9">
        <v>2</v>
      </c>
      <c r="H125" s="9">
        <v>6</v>
      </c>
    </row>
    <row r="126" spans="5:8" x14ac:dyDescent="0.2">
      <c r="E126" s="5">
        <v>51</v>
      </c>
      <c r="F126" s="9">
        <v>2</v>
      </c>
      <c r="G126" s="9">
        <v>2</v>
      </c>
      <c r="H126" s="9">
        <v>4</v>
      </c>
    </row>
    <row r="127" spans="5:8" x14ac:dyDescent="0.2">
      <c r="E127" s="5">
        <v>52</v>
      </c>
      <c r="F127" s="9">
        <v>3</v>
      </c>
      <c r="G127" s="9">
        <v>3</v>
      </c>
      <c r="H127" s="9">
        <v>6</v>
      </c>
    </row>
    <row r="128" spans="5:8" x14ac:dyDescent="0.2">
      <c r="E128" s="5">
        <v>53</v>
      </c>
      <c r="F128" s="9">
        <v>1</v>
      </c>
      <c r="G128" s="9">
        <v>5</v>
      </c>
      <c r="H128" s="9">
        <v>6</v>
      </c>
    </row>
    <row r="129" spans="5:8" x14ac:dyDescent="0.2">
      <c r="E129" s="5">
        <v>54</v>
      </c>
      <c r="F129" s="9"/>
      <c r="G129" s="9">
        <v>2</v>
      </c>
      <c r="H129" s="9">
        <v>2</v>
      </c>
    </row>
    <row r="130" spans="5:8" x14ac:dyDescent="0.2">
      <c r="E130" s="5">
        <v>56</v>
      </c>
      <c r="F130" s="9">
        <v>2</v>
      </c>
      <c r="G130" s="9"/>
      <c r="H130" s="9">
        <v>2</v>
      </c>
    </row>
    <row r="131" spans="5:8" x14ac:dyDescent="0.2">
      <c r="E131" s="5">
        <v>57</v>
      </c>
      <c r="F131" s="9">
        <v>2</v>
      </c>
      <c r="G131" s="9"/>
      <c r="H131" s="9">
        <v>2</v>
      </c>
    </row>
    <row r="132" spans="5:8" x14ac:dyDescent="0.2">
      <c r="E132" s="5">
        <v>58</v>
      </c>
      <c r="F132" s="9">
        <v>1</v>
      </c>
      <c r="G132" s="9">
        <v>2</v>
      </c>
      <c r="H132" s="9">
        <v>3</v>
      </c>
    </row>
    <row r="133" spans="5:8" x14ac:dyDescent="0.2">
      <c r="E133" s="5">
        <v>59</v>
      </c>
      <c r="F133" s="9">
        <v>1</v>
      </c>
      <c r="G133" s="9">
        <v>3</v>
      </c>
      <c r="H133" s="9">
        <v>4</v>
      </c>
    </row>
    <row r="134" spans="5:8" x14ac:dyDescent="0.2">
      <c r="E134" s="5">
        <v>60</v>
      </c>
      <c r="F134" s="9"/>
      <c r="G134" s="9">
        <v>5</v>
      </c>
      <c r="H134" s="9">
        <v>5</v>
      </c>
    </row>
    <row r="135" spans="5:8" x14ac:dyDescent="0.2">
      <c r="E135" s="5">
        <v>61</v>
      </c>
      <c r="F135" s="9">
        <v>1</v>
      </c>
      <c r="G135" s="9">
        <v>1</v>
      </c>
      <c r="H135" s="9">
        <v>2</v>
      </c>
    </row>
    <row r="136" spans="5:8" x14ac:dyDescent="0.2">
      <c r="E136" s="5">
        <v>62</v>
      </c>
      <c r="F136" s="9"/>
      <c r="G136" s="9">
        <v>2</v>
      </c>
      <c r="H136" s="9">
        <v>2</v>
      </c>
    </row>
    <row r="137" spans="5:8" x14ac:dyDescent="0.2">
      <c r="E137" s="5">
        <v>63</v>
      </c>
      <c r="F137" s="9">
        <v>1</v>
      </c>
      <c r="G137" s="9"/>
      <c r="H137" s="9">
        <v>1</v>
      </c>
    </row>
    <row r="138" spans="5:8" x14ac:dyDescent="0.2">
      <c r="E138" s="5">
        <v>65</v>
      </c>
      <c r="F138" s="9">
        <v>1</v>
      </c>
      <c r="G138" s="9"/>
      <c r="H138" s="9">
        <v>1</v>
      </c>
    </row>
    <row r="139" spans="5:8" x14ac:dyDescent="0.2">
      <c r="E139" s="5">
        <v>66</v>
      </c>
      <c r="F139" s="9">
        <v>2</v>
      </c>
      <c r="G139" s="9">
        <v>1</v>
      </c>
      <c r="H139" s="9">
        <v>3</v>
      </c>
    </row>
    <row r="140" spans="5:8" x14ac:dyDescent="0.2">
      <c r="E140" s="5">
        <v>67</v>
      </c>
      <c r="F140" s="9">
        <v>2</v>
      </c>
      <c r="G140" s="9">
        <v>1</v>
      </c>
      <c r="H140" s="9">
        <v>3</v>
      </c>
    </row>
    <row r="141" spans="5:8" x14ac:dyDescent="0.2">
      <c r="E141" s="5">
        <v>69</v>
      </c>
      <c r="F141" s="9">
        <v>1</v>
      </c>
      <c r="G141" s="9"/>
      <c r="H141" s="9">
        <v>1</v>
      </c>
    </row>
    <row r="142" spans="5:8" x14ac:dyDescent="0.2">
      <c r="E142" s="5">
        <v>73</v>
      </c>
      <c r="F142" s="9">
        <v>1</v>
      </c>
      <c r="G142" s="9">
        <v>1</v>
      </c>
      <c r="H142" s="9">
        <v>2</v>
      </c>
    </row>
    <row r="143" spans="5:8" x14ac:dyDescent="0.2">
      <c r="E143" s="5">
        <v>74</v>
      </c>
      <c r="F143" s="9"/>
      <c r="G143" s="9">
        <v>1</v>
      </c>
      <c r="H143" s="9">
        <v>1</v>
      </c>
    </row>
    <row r="144" spans="5:8" x14ac:dyDescent="0.2">
      <c r="E144" s="5">
        <v>78</v>
      </c>
      <c r="F144" s="9">
        <v>1</v>
      </c>
      <c r="G144" s="9"/>
      <c r="H144" s="9">
        <v>1</v>
      </c>
    </row>
    <row r="145" spans="5:8" x14ac:dyDescent="0.2">
      <c r="E145" s="5" t="s">
        <v>43</v>
      </c>
      <c r="F145" s="9">
        <v>98</v>
      </c>
      <c r="G145" s="9">
        <v>113</v>
      </c>
      <c r="H145" s="9">
        <v>211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4D1B-638A-3744-A52C-24135FEE28CC}">
  <dimension ref="A3:M21"/>
  <sheetViews>
    <sheetView showGridLines="0" tabSelected="1" topLeftCell="A3" workbookViewId="0">
      <selection activeCell="O20" sqref="O20"/>
    </sheetView>
  </sheetViews>
  <sheetFormatPr baseColWidth="10" defaultRowHeight="15" x14ac:dyDescent="0.2"/>
  <cols>
    <col min="1" max="8" width="14" customWidth="1"/>
    <col min="9" max="9" width="33.6640625" customWidth="1"/>
  </cols>
  <sheetData>
    <row r="3" spans="1:9" ht="15" customHeight="1" x14ac:dyDescent="0.2">
      <c r="A3" s="10" t="s">
        <v>51</v>
      </c>
      <c r="B3" s="11"/>
      <c r="C3" s="11"/>
      <c r="D3" s="11"/>
      <c r="E3" s="11"/>
      <c r="F3" s="11"/>
      <c r="G3" s="11"/>
      <c r="H3" s="11"/>
      <c r="I3" s="11"/>
    </row>
    <row r="4" spans="1:9" x14ac:dyDescent="0.2">
      <c r="A4" s="11"/>
      <c r="B4" s="11"/>
      <c r="C4" s="11"/>
      <c r="D4" s="11"/>
      <c r="E4" s="11"/>
      <c r="F4" s="11"/>
      <c r="G4" s="11"/>
      <c r="H4" s="11"/>
      <c r="I4" s="11"/>
    </row>
    <row r="5" spans="1:9" x14ac:dyDescent="0.2">
      <c r="A5" s="11"/>
      <c r="B5" s="11"/>
      <c r="C5" s="11"/>
      <c r="D5" s="11"/>
      <c r="E5" s="11"/>
      <c r="F5" s="11"/>
      <c r="G5" s="11"/>
      <c r="H5" s="11"/>
      <c r="I5" s="11"/>
    </row>
    <row r="6" spans="1:9" x14ac:dyDescent="0.2">
      <c r="A6" s="11"/>
      <c r="B6" s="11"/>
      <c r="C6" s="11"/>
      <c r="D6" s="11"/>
      <c r="E6" s="11"/>
      <c r="F6" s="11"/>
      <c r="G6" s="11"/>
      <c r="H6" s="11"/>
      <c r="I6" s="11"/>
    </row>
    <row r="7" spans="1:9" x14ac:dyDescent="0.2">
      <c r="A7" s="11"/>
      <c r="B7" s="11"/>
      <c r="C7" s="11"/>
      <c r="D7" s="11"/>
      <c r="E7" s="11"/>
      <c r="F7" s="11"/>
      <c r="G7" s="11"/>
      <c r="H7" s="11"/>
      <c r="I7" s="11"/>
    </row>
    <row r="8" spans="1:9" x14ac:dyDescent="0.2">
      <c r="A8" s="11"/>
      <c r="B8" s="11"/>
      <c r="C8" s="11"/>
      <c r="D8" s="11"/>
      <c r="E8" s="11"/>
      <c r="F8" s="11"/>
      <c r="G8" s="11"/>
      <c r="H8" s="11"/>
      <c r="I8" s="11"/>
    </row>
    <row r="21" spans="13:13" x14ac:dyDescent="0.2">
      <c r="M21" t="s">
        <v>52</v>
      </c>
    </row>
  </sheetData>
  <mergeCells count="1">
    <mergeCell ref="A3:I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oacoker2@outlook.com</cp:lastModifiedBy>
  <dcterms:created xsi:type="dcterms:W3CDTF">2022-03-18T02:50:57Z</dcterms:created>
  <dcterms:modified xsi:type="dcterms:W3CDTF">2026-09-11T10:11:56Z</dcterms:modified>
</cp:coreProperties>
</file>